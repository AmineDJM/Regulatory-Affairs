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deepakbansal/Downloads/"/>
    </mc:Choice>
  </mc:AlternateContent>
  <xr:revisionPtr revIDLastSave="0" documentId="13_ncr:1_{43B7C48E-145D-0949-AACA-18E737F41990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Feuil1" sheetId="1" r:id="rId1"/>
  </sheets>
  <definedNames>
    <definedName name="_xlnm._FilterDatabase" localSheetId="0" hidden="1">Feuil1!$A$3:$O$72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5" i="1"/>
  <c r="K17" i="1"/>
  <c r="K18" i="1"/>
  <c r="K24" i="1"/>
  <c r="K25" i="1"/>
  <c r="K26" i="1"/>
  <c r="K31" i="1"/>
  <c r="K32" i="1"/>
  <c r="K33" i="1"/>
  <c r="K34" i="1"/>
  <c r="K35" i="1"/>
  <c r="K36" i="1"/>
  <c r="K37" i="1"/>
  <c r="K38" i="1"/>
  <c r="K40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70" i="1"/>
  <c r="K71" i="1"/>
  <c r="K72" i="1"/>
  <c r="I10" i="1"/>
  <c r="K10" i="1" s="1"/>
  <c r="I11" i="1"/>
  <c r="I4" i="1"/>
  <c r="I6" i="1"/>
  <c r="I5" i="1"/>
  <c r="J60" i="1"/>
  <c r="K60" i="1" s="1"/>
  <c r="J41" i="1" l="1"/>
  <c r="K41" i="1" s="1"/>
  <c r="J39" i="1"/>
  <c r="K39" i="1" s="1"/>
  <c r="J30" i="1"/>
  <c r="K30" i="1" s="1"/>
  <c r="J29" i="1"/>
  <c r="K29" i="1" s="1"/>
  <c r="J28" i="1"/>
  <c r="K28" i="1" s="1"/>
  <c r="J27" i="1"/>
  <c r="K27" i="1" s="1"/>
  <c r="J23" i="1" l="1"/>
  <c r="K23" i="1" s="1"/>
  <c r="J22" i="1"/>
  <c r="K22" i="1" s="1"/>
  <c r="J14" i="1"/>
  <c r="K14" i="1" s="1"/>
  <c r="J16" i="1"/>
  <c r="K16" i="1" s="1"/>
  <c r="J19" i="1"/>
  <c r="K19" i="1" s="1"/>
  <c r="J20" i="1"/>
  <c r="K20" i="1" s="1"/>
  <c r="J7" i="1"/>
  <c r="K7" i="1" s="1"/>
  <c r="J8" i="1"/>
  <c r="K8" i="1" s="1"/>
  <c r="J9" i="1"/>
  <c r="K9" i="1" s="1"/>
  <c r="J11" i="1"/>
  <c r="K11" i="1" s="1"/>
  <c r="J12" i="1"/>
  <c r="K12" i="1" s="1"/>
  <c r="J21" i="1"/>
  <c r="K21" i="1" s="1"/>
  <c r="I2" i="1"/>
  <c r="J6" i="1"/>
  <c r="K6" i="1" s="1"/>
  <c r="J5" i="1"/>
  <c r="K5" i="1" s="1"/>
  <c r="J4" i="1"/>
  <c r="K4" i="1" s="1"/>
  <c r="H2" i="1"/>
  <c r="K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Lancement en 2025</t>
        </r>
      </text>
    </comment>
    <comment ref="E4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Existe en Cp sécable</t>
        </r>
      </text>
    </comment>
    <comment ref="E5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Existe en Cp sécable</t>
        </r>
      </text>
    </comment>
    <comment ref="H5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Marché de la Tmsulosine</t>
        </r>
      </text>
    </comment>
    <comment ref="H5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Estimation FCT Takrozem pierre fabre</t>
        </r>
      </text>
    </comment>
    <comment ref="C65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Lymecycline = 1373unitées a MAT Mars 26 - de Galderma (Tetralysal) interdit dimportation + prix bas</t>
        </r>
      </text>
    </comment>
    <comment ref="C6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Nouvelle association sur le marché
</t>
        </r>
      </text>
    </comment>
    <comment ref="H6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Marché globale des ANTIFONGIQ.GYNECOLOGIQ. A Capsule/Ovule
</t>
        </r>
      </text>
    </comment>
  </commentList>
</comments>
</file>

<file path=xl/sharedStrings.xml><?xml version="1.0" encoding="utf-8"?>
<sst xmlns="http://schemas.openxmlformats.org/spreadsheetml/2006/main" count="534" uniqueCount="251">
  <si>
    <t>Priorisation</t>
  </si>
  <si>
    <t>Produit</t>
  </si>
  <si>
    <t>Prix Fob</t>
  </si>
  <si>
    <t>N2 et MS%</t>
  </si>
  <si>
    <t>N3 et MS%</t>
  </si>
  <si>
    <t>Neuro</t>
  </si>
  <si>
    <t>Fingolimod</t>
  </si>
  <si>
    <t xml:space="preserve">DIMETHYL FUMARATE </t>
  </si>
  <si>
    <t>VALPROIC ACID  : Depakine</t>
  </si>
  <si>
    <t>LEVETIRACETAM</t>
  </si>
  <si>
    <t>Psy</t>
  </si>
  <si>
    <t>MIRTAZAPINE</t>
  </si>
  <si>
    <t>REA</t>
  </si>
  <si>
    <t>ALTEPLASE 3M</t>
  </si>
  <si>
    <t>LAMOTRIGINE</t>
  </si>
  <si>
    <t>Spé</t>
  </si>
  <si>
    <t>Nbr d’acteurs</t>
  </si>
  <si>
    <t>N1 et MS% Unîts</t>
  </si>
  <si>
    <t>Statut</t>
  </si>
  <si>
    <t>Fabrication</t>
  </si>
  <si>
    <t>Hop/Off</t>
  </si>
  <si>
    <t>Hop</t>
  </si>
  <si>
    <t>HIKMA 100%</t>
  </si>
  <si>
    <t>COMP 10 MG</t>
  </si>
  <si>
    <t>Off</t>
  </si>
  <si>
    <t xml:space="preserve"> Qte Marché
 PCH</t>
  </si>
  <si>
    <t xml:space="preserve"> Qte Marché
 Ville</t>
  </si>
  <si>
    <t>Sanofi   100%</t>
  </si>
  <si>
    <t>INPHA-MEDIS 0%</t>
  </si>
  <si>
    <t>BIOGALENIC 0%</t>
  </si>
  <si>
    <t>CPCM 100%</t>
  </si>
  <si>
    <t>Importation</t>
  </si>
  <si>
    <t>GENERIUM NEXT LLC 100%</t>
  </si>
  <si>
    <t>El Kendi  100%</t>
  </si>
  <si>
    <t>HIKMA 
ENREGISTREMENT Juin 2025</t>
  </si>
  <si>
    <t>Conditionnement</t>
  </si>
  <si>
    <t xml:space="preserve">Commercialisation 
Actuelle </t>
  </si>
  <si>
    <t xml:space="preserve">Cladribine </t>
  </si>
  <si>
    <t xml:space="preserve">CPR. PELLIC. 250 MG 
</t>
  </si>
  <si>
    <t>CPR. PELLIC. 1000 MG</t>
  </si>
  <si>
    <t xml:space="preserve">ALTEPLASE </t>
  </si>
  <si>
    <t>B/28</t>
  </si>
  <si>
    <t xml:space="preserve">GELULE  0,5MG </t>
  </si>
  <si>
    <t>Forme Galénique 
&amp; Dosage</t>
  </si>
  <si>
    <t xml:space="preserve">GELULE 120 MG </t>
  </si>
  <si>
    <t>B/14</t>
  </si>
  <si>
    <t xml:space="preserve">GELULE 240 MG </t>
  </si>
  <si>
    <t>B/56</t>
  </si>
  <si>
    <t>CPR.GASTRORE 200 MG</t>
  </si>
  <si>
    <t>B/40</t>
  </si>
  <si>
    <t>B/30</t>
  </si>
  <si>
    <t>B/1 40 ML</t>
  </si>
  <si>
    <t xml:space="preserve">SOLN BUV. 20 % </t>
  </si>
  <si>
    <t>Sanofi   98 %</t>
  </si>
  <si>
    <t>SOPROPHAL 2%</t>
  </si>
  <si>
    <t>B/60</t>
  </si>
  <si>
    <t>El Kendi  94%</t>
  </si>
  <si>
    <t>Beker  3%</t>
  </si>
  <si>
    <t>BIOCARE 1%</t>
  </si>
  <si>
    <t>HIKMA 97%</t>
  </si>
  <si>
    <t>TABUK 3%</t>
  </si>
  <si>
    <t>ABD.IBRAH.REMED 3%</t>
  </si>
  <si>
    <t>ABD.IBRAH.REMED 0%</t>
  </si>
  <si>
    <t>BEKER 3%</t>
  </si>
  <si>
    <t>PHARMALLIANCE 2%</t>
  </si>
  <si>
    <t>El Kendi  15%</t>
  </si>
  <si>
    <t>HIKMA 83%</t>
  </si>
  <si>
    <t>TABUK 2%</t>
  </si>
  <si>
    <t>BIOCARE 10%</t>
  </si>
  <si>
    <t>El Kendi  90%</t>
  </si>
  <si>
    <t>HIKMA 94%</t>
  </si>
  <si>
    <t>El Kendi  6%</t>
  </si>
  <si>
    <t>Biopharm 0%</t>
  </si>
  <si>
    <t>Biopharm 100%</t>
  </si>
  <si>
    <t>SOLN BUV. 100 MG /ML</t>
  </si>
  <si>
    <t>B/1 120 ML</t>
  </si>
  <si>
    <t>B/1 300 ML</t>
  </si>
  <si>
    <t>HIKMA 76%</t>
  </si>
  <si>
    <t>BIOPHARM 24%</t>
  </si>
  <si>
    <t>B /30</t>
  </si>
  <si>
    <t>COMP PELL 30 MG</t>
  </si>
  <si>
    <t xml:space="preserve">B/1       </t>
  </si>
  <si>
    <t>B/1</t>
  </si>
  <si>
    <t>INJ 20MG</t>
  </si>
  <si>
    <t>INJ 50MG</t>
  </si>
  <si>
    <t>CPR. DISPERS 5 MG</t>
  </si>
  <si>
    <t>El Kendi  55%</t>
  </si>
  <si>
    <t>HIKMA 40%</t>
  </si>
  <si>
    <t>BEKER 4%</t>
  </si>
  <si>
    <t>CPR. DISPERS 100 MG</t>
  </si>
  <si>
    <t>El Kendi  82%</t>
  </si>
  <si>
    <t>BEKER 18%</t>
  </si>
  <si>
    <t>CPR. DISPERS 25 MG</t>
  </si>
  <si>
    <t>CPR. DISPERS 50 MG</t>
  </si>
  <si>
    <t xml:space="preserve"> SOPRODIUM 0%</t>
  </si>
  <si>
    <t>El Kendi  60%</t>
  </si>
  <si>
    <t>HIKMA 35%</t>
  </si>
  <si>
    <t xml:space="preserve">CPR.PELL. LP 500 MG 
</t>
  </si>
  <si>
    <t>CPR. PELLIC. 500 MG</t>
  </si>
  <si>
    <t>CPR.PELL.SEC 750 MG</t>
  </si>
  <si>
    <t>CPR.PELL. LP 750 MG</t>
  </si>
  <si>
    <t>PDRE+SOLV P/SOL INJ IV ET PERF 10MG/10ML</t>
  </si>
  <si>
    <t>ROPINIROLE</t>
  </si>
  <si>
    <t>El Kendi  97%</t>
  </si>
  <si>
    <t>Biocare  3%</t>
  </si>
  <si>
    <t>Biocare  6%</t>
  </si>
  <si>
    <t>ENTACAPONE</t>
  </si>
  <si>
    <t>CPR. PELLIC. 200 MG</t>
  </si>
  <si>
    <t xml:space="preserve">RASAGILINE </t>
  </si>
  <si>
    <t xml:space="preserve">CPR. </t>
  </si>
  <si>
    <t>1 MG - B/ 30</t>
  </si>
  <si>
    <t>BIOPHARM 95%</t>
  </si>
  <si>
    <t>El Kendi  5%</t>
  </si>
  <si>
    <t>Uro</t>
  </si>
  <si>
    <t xml:space="preserve"> Triptoreline</t>
  </si>
  <si>
    <t>FL PDRE+SOLV en SC</t>
  </si>
  <si>
    <t>O,1% - B/7 FL PDRE+AMP SOLV de 1ml</t>
  </si>
  <si>
    <t>IPSEN 100%</t>
  </si>
  <si>
    <t>SUS INJ - LP en IM</t>
  </si>
  <si>
    <t xml:space="preserve"> 11,25 mg pdre/solv p susp</t>
  </si>
  <si>
    <t>PDRE+SOLV  SER en .IM L.P.</t>
  </si>
  <si>
    <t xml:space="preserve"> 3.75 MG - B/1 PDRE+SOLV  2 ML</t>
  </si>
  <si>
    <t>Gyn</t>
  </si>
  <si>
    <t>FOSFOMYCINE</t>
  </si>
  <si>
    <t xml:space="preserve">Grannulés sachet /SUS.BV </t>
  </si>
  <si>
    <t>3G / B 1</t>
  </si>
  <si>
    <t>Biocare (Uricare) 
= 98%</t>
  </si>
  <si>
    <t>Onyx pharma (Uronyx) 
= 2%</t>
  </si>
  <si>
    <t>TAMSULOSINE</t>
  </si>
  <si>
    <t>GELULE. LP</t>
  </si>
  <si>
    <t>0,4 MG/B 30</t>
  </si>
  <si>
    <t>El Kendi (Tamsir) 
= 41%</t>
  </si>
  <si>
    <t>Abdi Ibrahim (Tamsumed) 
= 21%</t>
  </si>
  <si>
    <t>Frater Razes (Prostasir) 
= 15%</t>
  </si>
  <si>
    <t>FINASTERIDE</t>
  </si>
  <si>
    <t xml:space="preserve">CPR. PELLIC. </t>
  </si>
  <si>
    <t>5 MG/B 30</t>
  </si>
  <si>
    <t>Abdi Ibrahim (Prostamed) 
= 85%</t>
  </si>
  <si>
    <t>HAYAT (Prostacare)
= 15%</t>
  </si>
  <si>
    <t>Pharma Makers (Urosteride)
= 0,1%</t>
  </si>
  <si>
    <t>TADALAFIL</t>
  </si>
  <si>
    <t>CPR. PELLIC</t>
  </si>
  <si>
    <t xml:space="preserve">5 MG/B 28 - B/ 30
</t>
  </si>
  <si>
    <t>Beker (Tadalis)
= 38%</t>
  </si>
  <si>
    <t>Dar Al Dawa (Tyra)
= 27%</t>
  </si>
  <si>
    <t>Sophal (Ciafal)
= 18%</t>
  </si>
  <si>
    <t>20 MG/B 2</t>
  </si>
  <si>
    <t>Beker (Tadalis)
= 92%</t>
  </si>
  <si>
    <t>Inphamedis (Vitalis)
= 7%</t>
  </si>
  <si>
    <t>20 MG/B 4</t>
  </si>
  <si>
    <t>World Medicine (Tadafors)
= 63%</t>
  </si>
  <si>
    <t>El kendi (Erixium)
= 20%</t>
  </si>
  <si>
    <t>Tabuk (Tablafil)
= 18%</t>
  </si>
  <si>
    <t>20 MG/B 8</t>
  </si>
  <si>
    <t>Beker (Tadalis)
= 96%</t>
  </si>
  <si>
    <t>World Medicine (Tadafors)
= 3%</t>
  </si>
  <si>
    <t>Pharmalliance (Tafialys)
= 1%</t>
  </si>
  <si>
    <t>20 MG/B 10</t>
  </si>
  <si>
    <t>Novomedis (Megalis)
= 100%</t>
  </si>
  <si>
    <t>Tamsulosine + Tadalafil</t>
  </si>
  <si>
    <t>Gélule ou capsule molle  LP</t>
  </si>
  <si>
    <t xml:space="preserve">0,4 mg+5 MG/ B 30 </t>
  </si>
  <si>
    <t>NA</t>
  </si>
  <si>
    <t>1st to market combination</t>
  </si>
  <si>
    <t>Der</t>
  </si>
  <si>
    <t>Isotrétinoïne</t>
  </si>
  <si>
    <t>CAPS.MOLLES</t>
  </si>
  <si>
    <t>5 MG/ B 30</t>
  </si>
  <si>
    <t>Pierre Fabre (Curacne)
= 100%</t>
  </si>
  <si>
    <t>10 MG,/ B 30</t>
  </si>
  <si>
    <t>Pierre Fabre (Curacne)
= 50%</t>
  </si>
  <si>
    <t>Hikma (Xeractan)
= 50%</t>
  </si>
  <si>
    <t>20 MG/ B 30</t>
  </si>
  <si>
    <t>Onco</t>
  </si>
  <si>
    <t>AZATHIOPRINE</t>
  </si>
  <si>
    <t>50 MG/ B 100</t>
  </si>
  <si>
    <t>ASPEN  97%</t>
  </si>
  <si>
    <t>VIATRIS 3%</t>
  </si>
  <si>
    <t>Tacrolimus</t>
  </si>
  <si>
    <t xml:space="preserve">POMMADE </t>
  </si>
  <si>
    <t>Tube 30 G / 60 G</t>
  </si>
  <si>
    <t xml:space="preserve">1st to market </t>
  </si>
  <si>
    <t>AMOROLFINE</t>
  </si>
  <si>
    <t>SOLUTION LOCALE+SPATULE OU PINCEAU APPLICATEUR</t>
  </si>
  <si>
    <t xml:space="preserve"> 5 % /1 FL 2.5 ML</t>
  </si>
  <si>
    <t>Importation
Fabrication</t>
  </si>
  <si>
    <t>Galderma (Loecryl)
= 93%</t>
  </si>
  <si>
    <t>Biorem (Bioferyl)
= 7%</t>
  </si>
  <si>
    <t>CLOBETASOL</t>
  </si>
  <si>
    <t>CREME DERM.</t>
  </si>
  <si>
    <t>0,5% / 1 tube 15 G / 45 G</t>
  </si>
  <si>
    <t>Biopharm (Clotasol)
= 90%</t>
  </si>
  <si>
    <t>El Kendi (Colbecort) 
= 10%</t>
  </si>
  <si>
    <t>POMMAD DERM.</t>
  </si>
  <si>
    <t>Biopharm (Clotasol)
= 92%</t>
  </si>
  <si>
    <t>El Kendi (Colbecort) 
= 8%</t>
  </si>
  <si>
    <t>GEL DERM.</t>
  </si>
  <si>
    <t>0,5% / 1 tube 45 G</t>
  </si>
  <si>
    <t>Biopharm (Clotasol)
= 100%</t>
  </si>
  <si>
    <t>MINOCYCLINE Ou LYMECYCLINE</t>
  </si>
  <si>
    <t>CPR.LP</t>
  </si>
  <si>
    <t>55 MG/B 30</t>
  </si>
  <si>
    <t>Hikma (Tetracne)
= 100%</t>
  </si>
  <si>
    <t>65 MG/B 30</t>
  </si>
  <si>
    <t>80 MG /B 30</t>
  </si>
  <si>
    <t>105 MG/B 30</t>
  </si>
  <si>
    <t>Progestérone</t>
  </si>
  <si>
    <t>CAPS</t>
  </si>
  <si>
    <t>100 MG/ B 30</t>
  </si>
  <si>
    <t>Besin (Utrogestan)
= 99%</t>
  </si>
  <si>
    <t>Effik (Progeva)
= 1%</t>
  </si>
  <si>
    <t xml:space="preserve">
200 MG/ B 15</t>
  </si>
  <si>
    <t>Besin (Utrogestan)
= 81%</t>
  </si>
  <si>
    <t>Effik (Progeva)
= 19%</t>
  </si>
  <si>
    <t>Clindamycine + Clotrimazole</t>
  </si>
  <si>
    <t>CAPS/Ovule</t>
  </si>
  <si>
    <t>100 mg + 100 (200) mg /B 7</t>
  </si>
  <si>
    <t>Salem (Gynomix)
= 32%</t>
  </si>
  <si>
    <t>Innothera (Polygynax)
= 27%</t>
  </si>
  <si>
    <t xml:space="preserve">Salem (Ecovar)
= 20% </t>
  </si>
  <si>
    <t>Inf et REA</t>
  </si>
  <si>
    <t>POSACONAZOLE</t>
  </si>
  <si>
    <t xml:space="preserve">SOL BUV </t>
  </si>
  <si>
    <t>40MG/ML 
B/01 FL DE 105ML+UNE CUILLERE MESURE DE 2,5 ML ET 5 ML</t>
  </si>
  <si>
    <t>Noxafil® de MSD 100%</t>
  </si>
  <si>
    <t xml:space="preserve">
CPR.GASTRO RESISTANT</t>
  </si>
  <si>
    <t>100MG /B 24</t>
  </si>
  <si>
    <t>PROFERTIL</t>
  </si>
  <si>
    <t>Capsule</t>
  </si>
  <si>
    <t>B/ 60 - B/ 180</t>
  </si>
  <si>
    <t>Lenus pharma / NovoMedis</t>
  </si>
  <si>
    <t xml:space="preserve"> B/20</t>
  </si>
  <si>
    <t xml:space="preserve">CPR. PELLIC.1 MG </t>
  </si>
  <si>
    <t xml:space="preserve"> B/30</t>
  </si>
  <si>
    <t xml:space="preserve">CPR. PELLIC. 2 MG </t>
  </si>
  <si>
    <t xml:space="preserve">CPR. PELLIC.5 MG </t>
  </si>
  <si>
    <t>HIKMA 
ENREGISTREMENT Juin 2026</t>
  </si>
  <si>
    <t>HIKMA 
ENREGISTREMENT Juin 2027</t>
  </si>
  <si>
    <t xml:space="preserve">B/01 </t>
  </si>
  <si>
    <t>B/04</t>
  </si>
  <si>
    <t>B/08</t>
  </si>
  <si>
    <t>COMP PELL 15 MG</t>
  </si>
  <si>
    <t>CPR LP 4mg b/30</t>
  </si>
  <si>
    <t>CPR LP 8mg b/30</t>
  </si>
  <si>
    <t>CPR LP 2mg B/30</t>
  </si>
  <si>
    <t>0,4 MG/B 90</t>
  </si>
  <si>
    <t xml:space="preserve">
400 MG/ B 15</t>
  </si>
  <si>
    <t>PHILADELPHIA</t>
  </si>
  <si>
    <t>Off/Hop</t>
  </si>
  <si>
    <t xml:space="preserve">CPR. PELLIC 0.25 MG </t>
  </si>
  <si>
    <t>MARKET SIZE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</si>
</sst>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_);_(@_)"/>
    <numFmt numFmtId="165" formatCode="_ * #,##0.00_)_ ;_ * \(#,##0.00\)_ ;_ * &quot;-&quot;??_)_ ;_ @_ "/>
    <numFmt numFmtId="166" formatCode="_ * #,##0_)_ ;_ * \(#,##0\)_ ;_ * &quot;-&quot;??_)_ ;_ @_ 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Century Gothic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C6EFCE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rgb="FFAEAAAA"/>
      </left>
      <right style="medium">
        <color rgb="FFAEAAAA"/>
      </right>
      <top style="medium">
        <color rgb="FFAEAAAA"/>
      </top>
      <bottom style="medium">
        <color rgb="FFAEAAAA"/>
      </bottom>
      <diagonal/>
    </border>
    <border>
      <left/>
      <right style="medium">
        <color rgb="FFAEAAAA"/>
      </right>
      <top style="medium">
        <color rgb="FFAEAAAA"/>
      </top>
      <bottom style="medium">
        <color rgb="FFAE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2" fillId="0" borderId="0"/>
    <xf numFmtId="49" fontId="6" fillId="4" borderId="3">
      <alignment horizontal="center" vertical="center" wrapText="1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166" fontId="1" fillId="2" borderId="1" xfId="1" applyNumberFormat="1" applyFont="1" applyFill="1" applyBorder="1" applyAlignment="1">
      <alignment horizontal="center" vertical="center" wrapText="1" readingOrder="1"/>
    </xf>
    <xf numFmtId="166" fontId="0" fillId="0" borderId="0" xfId="1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0" fontId="6" fillId="5" borderId="3" xfId="4" applyBorder="1" applyAlignment="1">
      <alignment horizontal="center" vertical="center" wrapText="1"/>
    </xf>
    <xf numFmtId="0" fontId="6" fillId="5" borderId="3" xfId="5" applyBorder="1" applyAlignment="1">
      <alignment horizontal="center" vertical="center" wrapText="1"/>
    </xf>
    <xf numFmtId="2" fontId="1" fillId="2" borderId="1" xfId="1" applyNumberFormat="1" applyFont="1" applyFill="1" applyBorder="1" applyAlignment="1">
      <alignment horizontal="center" vertical="center" wrapText="1" readingOrder="1"/>
    </xf>
    <xf numFmtId="2" fontId="1" fillId="2" borderId="1" xfId="0" applyNumberFormat="1" applyFont="1" applyFill="1" applyBorder="1" applyAlignment="1">
      <alignment horizontal="center" vertical="center" wrapText="1" readingOrder="1"/>
    </xf>
    <xf numFmtId="166" fontId="1" fillId="6" borderId="1" xfId="1" applyNumberFormat="1" applyFont="1" applyFill="1" applyBorder="1" applyAlignment="1">
      <alignment horizontal="center" vertical="center" wrapText="1" readingOrder="1"/>
    </xf>
    <xf numFmtId="2" fontId="1" fillId="6" borderId="1" xfId="0" applyNumberFormat="1" applyFont="1" applyFill="1" applyBorder="1" applyAlignment="1">
      <alignment horizontal="center" vertical="center" wrapText="1" readingOrder="1"/>
    </xf>
    <xf numFmtId="164" fontId="1" fillId="2" borderId="1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 wrapText="1" readingOrder="1"/>
    </xf>
    <xf numFmtId="0" fontId="1" fillId="6" borderId="1" xfId="0" applyFont="1" applyFill="1" applyBorder="1" applyAlignment="1">
      <alignment horizontal="left" vertical="center" wrapText="1" readingOrder="1"/>
    </xf>
    <xf numFmtId="0" fontId="1" fillId="6" borderId="1" xfId="0" applyFont="1" applyFill="1" applyBorder="1" applyAlignment="1">
      <alignment horizontal="center" vertical="center" wrapText="1" readingOrder="1"/>
    </xf>
    <xf numFmtId="2" fontId="1" fillId="6" borderId="1" xfId="1" applyNumberFormat="1" applyFont="1" applyFill="1" applyBorder="1" applyAlignment="1">
      <alignment horizontal="center" vertical="center" wrapText="1" readingOrder="1"/>
    </xf>
    <xf numFmtId="0" fontId="0" fillId="6" borderId="0" xfId="0" applyFill="1"/>
    <xf numFmtId="0" fontId="1" fillId="7" borderId="1" xfId="0" applyFont="1" applyFill="1" applyBorder="1" applyAlignment="1">
      <alignment horizontal="left" vertical="center" wrapText="1" readingOrder="1"/>
    </xf>
    <xf numFmtId="0" fontId="1" fillId="7" borderId="1" xfId="0" applyFont="1" applyFill="1" applyBorder="1" applyAlignment="1">
      <alignment horizontal="center" vertical="center" wrapText="1" readingOrder="1"/>
    </xf>
    <xf numFmtId="166" fontId="1" fillId="7" borderId="1" xfId="1" applyNumberFormat="1" applyFont="1" applyFill="1" applyBorder="1" applyAlignment="1">
      <alignment horizontal="center" vertical="center" wrapText="1" readingOrder="1"/>
    </xf>
    <xf numFmtId="2" fontId="1" fillId="7" borderId="1" xfId="1" applyNumberFormat="1" applyFont="1" applyFill="1" applyBorder="1" applyAlignment="1">
      <alignment horizontal="center" vertical="center" wrapText="1" readingOrder="1"/>
    </xf>
    <xf numFmtId="2" fontId="1" fillId="7" borderId="1" xfId="0" applyNumberFormat="1" applyFont="1" applyFill="1" applyBorder="1" applyAlignment="1">
      <alignment horizontal="center" vertical="center" wrapText="1" readingOrder="1"/>
    </xf>
    <xf numFmtId="164" fontId="1" fillId="7" borderId="1" xfId="0" applyNumberFormat="1" applyFont="1" applyFill="1" applyBorder="1" applyAlignment="1">
      <alignment horizontal="center" vertical="center" wrapText="1" readingOrder="1"/>
    </xf>
    <xf numFmtId="0" fontId="0" fillId="7" borderId="0" xfId="0" applyFill="1"/>
  </cellXfs>
  <cellStyles count="6">
    <cellStyle name="Comma" xfId="1" builtinId="3"/>
    <cellStyle name="Normal" xfId="0" builtinId="0"/>
    <cellStyle name="Normal 3" xfId="2" xr:uid="{00000000-0005-0000-0000-000002000000}"/>
    <cellStyle name="Satisfaisant 2" xfId="4" xr:uid="{7A89C8A6-F158-489F-A26D-390E36D73122}"/>
    <cellStyle name="Satisfaisant 2 2" xfId="5" xr:uid="{C10C9BDE-F46B-44AC-BF4A-9562781BBE2A}"/>
    <cellStyle name="satisfaitt" xfId="3" xr:uid="{E439DD8D-0391-4904-8AD7-7DC80298E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0AACD1-19C5-4087-B95E-0281954AE39D}">
  <we:reference id="wa200007447" version="1.0.0.0" store="fr-F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3"/>
  <sheetViews>
    <sheetView tabSelected="1" workbookViewId="0">
      <selection activeCell="A69" sqref="A69:XFD69"/>
    </sheetView>
  </sheetViews>
  <sheetFormatPr baseColWidth="10" defaultColWidth="11.5" defaultRowHeight="15" x14ac:dyDescent="0.2"/>
  <cols>
    <col min="1" max="1" width="7.83203125" customWidth="1"/>
    <col min="2" max="2" width="8.1640625" style="1" bestFit="1" customWidth="1"/>
    <col min="3" max="3" width="23.1640625" bestFit="1" customWidth="1"/>
    <col min="4" max="4" width="22.33203125" bestFit="1" customWidth="1"/>
    <col min="5" max="5" width="17.1640625" customWidth="1"/>
    <col min="6" max="6" width="18.83203125" bestFit="1" customWidth="1"/>
    <col min="7" max="7" width="10.1640625" bestFit="1" customWidth="1"/>
    <col min="8" max="8" width="14" style="6" bestFit="1" customWidth="1"/>
    <col min="9" max="9" width="12.83203125" style="6" customWidth="1"/>
    <col min="10" max="10" width="10.83203125" style="2" bestFit="1" customWidth="1"/>
    <col min="11" max="11" width="13.83203125" style="2" customWidth="1"/>
    <col min="12" max="12" width="10.33203125" bestFit="1" customWidth="1"/>
    <col min="13" max="13" width="19.5" bestFit="1" customWidth="1"/>
    <col min="14" max="14" width="17.5" bestFit="1" customWidth="1"/>
    <col min="15" max="15" width="20.1640625" bestFit="1" customWidth="1"/>
  </cols>
  <sheetData>
    <row r="2" spans="1:15" ht="16" thickBot="1" x14ac:dyDescent="0.25">
      <c r="H2" s="9">
        <f>SUBTOTAL(9,H4:H74)</f>
        <v>20508691</v>
      </c>
      <c r="I2" s="9">
        <f>SUBTOTAL(9,I4:I82)</f>
        <v>59934.142857142855</v>
      </c>
    </row>
    <row r="3" spans="1:15" ht="25" thickBot="1" x14ac:dyDescent="0.25">
      <c r="A3" s="7" t="s">
        <v>15</v>
      </c>
      <c r="B3" s="8" t="s">
        <v>0</v>
      </c>
      <c r="C3" s="8" t="s">
        <v>1</v>
      </c>
      <c r="D3" s="8" t="s">
        <v>43</v>
      </c>
      <c r="E3" s="8" t="s">
        <v>35</v>
      </c>
      <c r="F3" s="8" t="s">
        <v>36</v>
      </c>
      <c r="G3" s="8" t="s">
        <v>18</v>
      </c>
      <c r="H3" s="8" t="s">
        <v>26</v>
      </c>
      <c r="I3" s="8" t="s">
        <v>25</v>
      </c>
      <c r="J3" s="8" t="s">
        <v>2</v>
      </c>
      <c r="K3" s="8" t="s">
        <v>250</v>
      </c>
      <c r="L3" s="8" t="s">
        <v>16</v>
      </c>
      <c r="M3" s="8" t="s">
        <v>17</v>
      </c>
      <c r="N3" s="8" t="s">
        <v>3</v>
      </c>
      <c r="O3" s="8" t="s">
        <v>4</v>
      </c>
    </row>
    <row r="4" spans="1:15" s="22" customFormat="1" ht="16" thickBot="1" x14ac:dyDescent="0.25">
      <c r="A4" s="19" t="s">
        <v>5</v>
      </c>
      <c r="B4" s="20">
        <v>1</v>
      </c>
      <c r="C4" s="19" t="s">
        <v>6</v>
      </c>
      <c r="D4" s="19" t="s">
        <v>42</v>
      </c>
      <c r="E4" s="19" t="s">
        <v>41</v>
      </c>
      <c r="F4" s="20" t="s">
        <v>21</v>
      </c>
      <c r="G4" s="20" t="s">
        <v>19</v>
      </c>
      <c r="H4" s="14"/>
      <c r="I4" s="21">
        <f>76281/28</f>
        <v>2724.3214285714284</v>
      </c>
      <c r="J4" s="15">
        <f>90900/132</f>
        <v>688.63636363636363</v>
      </c>
      <c r="K4" s="18">
        <f>(H4*J4+I4*J4)</f>
        <v>1876066.8019480519</v>
      </c>
      <c r="L4" s="20">
        <v>1</v>
      </c>
      <c r="M4" s="20" t="s">
        <v>22</v>
      </c>
      <c r="N4" s="20"/>
      <c r="O4" s="20"/>
    </row>
    <row r="5" spans="1:15" s="22" customFormat="1" ht="16" thickBot="1" x14ac:dyDescent="0.25">
      <c r="A5" s="19" t="s">
        <v>5</v>
      </c>
      <c r="B5" s="20">
        <v>1</v>
      </c>
      <c r="C5" s="19" t="s">
        <v>7</v>
      </c>
      <c r="D5" s="19" t="s">
        <v>44</v>
      </c>
      <c r="E5" s="19" t="s">
        <v>45</v>
      </c>
      <c r="F5" s="20" t="s">
        <v>20</v>
      </c>
      <c r="G5" s="20" t="s">
        <v>19</v>
      </c>
      <c r="H5" s="14">
        <v>2049</v>
      </c>
      <c r="I5" s="21">
        <f>37200/14</f>
        <v>2657.1428571428573</v>
      </c>
      <c r="J5" s="15">
        <f>10200/132</f>
        <v>77.272727272727266</v>
      </c>
      <c r="K5" s="18">
        <f t="shared" ref="K5:K68" si="0">(H5*J5+I5*J5)</f>
        <v>363656.49350649351</v>
      </c>
      <c r="L5" s="20">
        <v>1</v>
      </c>
      <c r="M5" s="20" t="s">
        <v>22</v>
      </c>
      <c r="N5" s="20"/>
      <c r="O5" s="20"/>
    </row>
    <row r="6" spans="1:15" s="22" customFormat="1" ht="16" thickBot="1" x14ac:dyDescent="0.25">
      <c r="A6" s="19" t="s">
        <v>5</v>
      </c>
      <c r="B6" s="20">
        <v>1</v>
      </c>
      <c r="C6" s="19" t="s">
        <v>7</v>
      </c>
      <c r="D6" s="19" t="s">
        <v>46</v>
      </c>
      <c r="E6" s="19" t="s">
        <v>47</v>
      </c>
      <c r="F6" s="20" t="s">
        <v>20</v>
      </c>
      <c r="G6" s="20" t="s">
        <v>19</v>
      </c>
      <c r="H6" s="14">
        <v>11601</v>
      </c>
      <c r="I6" s="21">
        <f>305000/56</f>
        <v>5446.4285714285716</v>
      </c>
      <c r="J6" s="15">
        <f>53359/132</f>
        <v>404.2348484848485</v>
      </c>
      <c r="K6" s="18">
        <f t="shared" si="0"/>
        <v>6891164.7056277059</v>
      </c>
      <c r="L6" s="20">
        <v>1</v>
      </c>
      <c r="M6" s="20" t="s">
        <v>22</v>
      </c>
      <c r="N6" s="20"/>
      <c r="O6" s="20"/>
    </row>
    <row r="7" spans="1:15" s="22" customFormat="1" ht="25" thickBot="1" x14ac:dyDescent="0.25">
      <c r="A7" s="19" t="s">
        <v>5</v>
      </c>
      <c r="B7" s="20">
        <v>1</v>
      </c>
      <c r="C7" s="19" t="s">
        <v>37</v>
      </c>
      <c r="D7" s="19" t="s">
        <v>23</v>
      </c>
      <c r="E7" s="19" t="s">
        <v>238</v>
      </c>
      <c r="F7" s="20" t="s">
        <v>21</v>
      </c>
      <c r="G7" s="20" t="s">
        <v>19</v>
      </c>
      <c r="H7" s="14"/>
      <c r="I7" s="21">
        <v>6249</v>
      </c>
      <c r="J7" s="21">
        <f>120710/132</f>
        <v>914.469696969697</v>
      </c>
      <c r="K7" s="18">
        <f t="shared" si="0"/>
        <v>5714521.1363636367</v>
      </c>
      <c r="L7" s="20">
        <v>1</v>
      </c>
      <c r="M7" s="20" t="s">
        <v>34</v>
      </c>
      <c r="N7" s="20"/>
      <c r="O7" s="20"/>
    </row>
    <row r="8" spans="1:15" ht="25" thickBot="1" x14ac:dyDescent="0.25">
      <c r="A8" s="4" t="s">
        <v>5</v>
      </c>
      <c r="B8" s="3">
        <v>2</v>
      </c>
      <c r="C8" s="4" t="s">
        <v>37</v>
      </c>
      <c r="D8" s="4" t="s">
        <v>23</v>
      </c>
      <c r="E8" s="4" t="s">
        <v>239</v>
      </c>
      <c r="F8" s="3" t="s">
        <v>21</v>
      </c>
      <c r="G8" s="3" t="s">
        <v>19</v>
      </c>
      <c r="H8" s="5"/>
      <c r="I8" s="12">
        <v>0</v>
      </c>
      <c r="J8" s="12">
        <f>482465/132</f>
        <v>3655.037878787879</v>
      </c>
      <c r="K8" s="16">
        <f t="shared" si="0"/>
        <v>0</v>
      </c>
      <c r="L8" s="3">
        <v>2</v>
      </c>
      <c r="M8" s="3" t="s">
        <v>236</v>
      </c>
      <c r="N8" s="3"/>
      <c r="O8" s="3"/>
    </row>
    <row r="9" spans="1:15" ht="25" thickBot="1" x14ac:dyDescent="0.25">
      <c r="A9" s="4" t="s">
        <v>5</v>
      </c>
      <c r="B9" s="3">
        <v>3</v>
      </c>
      <c r="C9" s="4" t="s">
        <v>37</v>
      </c>
      <c r="D9" s="4" t="s">
        <v>23</v>
      </c>
      <c r="E9" s="4" t="s">
        <v>240</v>
      </c>
      <c r="F9" s="3" t="s">
        <v>21</v>
      </c>
      <c r="G9" s="3" t="s">
        <v>19</v>
      </c>
      <c r="H9" s="5"/>
      <c r="I9" s="12">
        <v>0</v>
      </c>
      <c r="J9" s="12">
        <f>723699/132</f>
        <v>5482.568181818182</v>
      </c>
      <c r="K9" s="16">
        <f t="shared" si="0"/>
        <v>0</v>
      </c>
      <c r="L9" s="3">
        <v>3</v>
      </c>
      <c r="M9" s="3" t="s">
        <v>237</v>
      </c>
      <c r="N9" s="3"/>
      <c r="O9" s="3"/>
    </row>
    <row r="10" spans="1:15" ht="16" thickBot="1" x14ac:dyDescent="0.25">
      <c r="A10" s="4" t="s">
        <v>5</v>
      </c>
      <c r="B10" s="3">
        <v>1</v>
      </c>
      <c r="C10" s="4" t="s">
        <v>8</v>
      </c>
      <c r="D10" s="4" t="s">
        <v>48</v>
      </c>
      <c r="E10" s="4" t="s">
        <v>49</v>
      </c>
      <c r="F10" s="3" t="s">
        <v>248</v>
      </c>
      <c r="G10" s="3" t="s">
        <v>19</v>
      </c>
      <c r="H10" s="5">
        <v>46747</v>
      </c>
      <c r="I10" s="12">
        <f>70250/40</f>
        <v>1756.25</v>
      </c>
      <c r="J10" s="12">
        <v>2.3199999999999998</v>
      </c>
      <c r="K10" s="16">
        <f>(H10*J10+I10*J10)</f>
        <v>112527.54</v>
      </c>
      <c r="L10" s="3">
        <v>1</v>
      </c>
      <c r="M10" s="3" t="s">
        <v>27</v>
      </c>
      <c r="N10" s="3"/>
      <c r="O10" s="3"/>
    </row>
    <row r="11" spans="1:15" s="22" customFormat="1" ht="16" thickBot="1" x14ac:dyDescent="0.25">
      <c r="A11" s="19" t="s">
        <v>5</v>
      </c>
      <c r="B11" s="20">
        <v>1</v>
      </c>
      <c r="C11" s="19" t="s">
        <v>8</v>
      </c>
      <c r="D11" s="19" t="s">
        <v>97</v>
      </c>
      <c r="E11" s="19" t="s">
        <v>50</v>
      </c>
      <c r="F11" s="20" t="s">
        <v>248</v>
      </c>
      <c r="G11" s="20" t="s">
        <v>19</v>
      </c>
      <c r="H11" s="14">
        <v>1374274</v>
      </c>
      <c r="I11" s="21">
        <f>591000/30</f>
        <v>19700</v>
      </c>
      <c r="J11" s="21">
        <f>740.48/132</f>
        <v>5.6096969696969694</v>
      </c>
      <c r="K11" s="18">
        <f t="shared" si="0"/>
        <v>7819771.7236363636</v>
      </c>
      <c r="L11" s="20">
        <v>2</v>
      </c>
      <c r="M11" s="20" t="s">
        <v>53</v>
      </c>
      <c r="N11" s="20" t="s">
        <v>54</v>
      </c>
      <c r="O11" s="20"/>
    </row>
    <row r="12" spans="1:15" ht="16" thickBot="1" x14ac:dyDescent="0.25">
      <c r="A12" s="4" t="s">
        <v>5</v>
      </c>
      <c r="B12" s="3">
        <v>1</v>
      </c>
      <c r="C12" s="4" t="s">
        <v>8</v>
      </c>
      <c r="D12" s="4" t="s">
        <v>52</v>
      </c>
      <c r="E12" s="4" t="s">
        <v>51</v>
      </c>
      <c r="F12" s="3" t="s">
        <v>248</v>
      </c>
      <c r="G12" s="3" t="s">
        <v>19</v>
      </c>
      <c r="H12" s="5">
        <v>786423</v>
      </c>
      <c r="I12" s="12">
        <v>406</v>
      </c>
      <c r="J12" s="12">
        <f>179.8/132</f>
        <v>1.3621212121212123</v>
      </c>
      <c r="K12" s="16">
        <f t="shared" si="0"/>
        <v>1071756.4712121214</v>
      </c>
      <c r="L12" s="3">
        <v>3</v>
      </c>
      <c r="M12" s="3" t="s">
        <v>27</v>
      </c>
      <c r="N12" s="3" t="s">
        <v>28</v>
      </c>
      <c r="O12" s="3" t="s">
        <v>29</v>
      </c>
    </row>
    <row r="13" spans="1:15" s="22" customFormat="1" ht="16" thickBot="1" x14ac:dyDescent="0.25">
      <c r="A13" s="19" t="s">
        <v>5</v>
      </c>
      <c r="B13" s="20">
        <v>3</v>
      </c>
      <c r="C13" s="19" t="s">
        <v>9</v>
      </c>
      <c r="D13" s="19" t="s">
        <v>38</v>
      </c>
      <c r="E13" s="19" t="s">
        <v>55</v>
      </c>
      <c r="F13" s="20" t="s">
        <v>24</v>
      </c>
      <c r="G13" s="20" t="s">
        <v>19</v>
      </c>
      <c r="H13" s="14">
        <v>199732</v>
      </c>
      <c r="I13" s="21"/>
      <c r="J13" s="15">
        <v>9.4</v>
      </c>
      <c r="K13" s="18">
        <f t="shared" si="0"/>
        <v>1877480.8</v>
      </c>
      <c r="L13" s="20">
        <v>11</v>
      </c>
      <c r="M13" s="20" t="s">
        <v>56</v>
      </c>
      <c r="N13" s="20" t="s">
        <v>57</v>
      </c>
      <c r="O13" s="20" t="s">
        <v>58</v>
      </c>
    </row>
    <row r="14" spans="1:15" s="22" customFormat="1" ht="16" thickBot="1" x14ac:dyDescent="0.25">
      <c r="A14" s="19" t="s">
        <v>5</v>
      </c>
      <c r="B14" s="20">
        <v>3</v>
      </c>
      <c r="C14" s="19" t="s">
        <v>9</v>
      </c>
      <c r="D14" s="19" t="s">
        <v>38</v>
      </c>
      <c r="E14" s="19" t="s">
        <v>50</v>
      </c>
      <c r="F14" s="20" t="s">
        <v>24</v>
      </c>
      <c r="G14" s="20" t="s">
        <v>19</v>
      </c>
      <c r="H14" s="14">
        <v>92118</v>
      </c>
      <c r="I14" s="21"/>
      <c r="J14" s="15">
        <f>640/132</f>
        <v>4.8484848484848486</v>
      </c>
      <c r="K14" s="18">
        <f t="shared" si="0"/>
        <v>446632.72727272729</v>
      </c>
      <c r="L14" s="20">
        <v>3</v>
      </c>
      <c r="M14" s="20" t="s">
        <v>59</v>
      </c>
      <c r="N14" s="20" t="s">
        <v>60</v>
      </c>
      <c r="O14" s="20" t="s">
        <v>61</v>
      </c>
    </row>
    <row r="15" spans="1:15" s="22" customFormat="1" ht="16" thickBot="1" x14ac:dyDescent="0.25">
      <c r="A15" s="19" t="s">
        <v>5</v>
      </c>
      <c r="B15" s="20">
        <v>3</v>
      </c>
      <c r="C15" s="19" t="s">
        <v>9</v>
      </c>
      <c r="D15" s="19" t="s">
        <v>98</v>
      </c>
      <c r="E15" s="19" t="s">
        <v>55</v>
      </c>
      <c r="F15" s="20" t="s">
        <v>24</v>
      </c>
      <c r="G15" s="20" t="s">
        <v>19</v>
      </c>
      <c r="H15" s="14">
        <v>301495</v>
      </c>
      <c r="I15" s="21"/>
      <c r="J15" s="15">
        <v>18.309999999999999</v>
      </c>
      <c r="K15" s="18">
        <f t="shared" si="0"/>
        <v>5520373.4499999993</v>
      </c>
      <c r="L15" s="20">
        <v>6</v>
      </c>
      <c r="M15" s="20" t="s">
        <v>56</v>
      </c>
      <c r="N15" s="20" t="s">
        <v>63</v>
      </c>
      <c r="O15" s="20" t="s">
        <v>64</v>
      </c>
    </row>
    <row r="16" spans="1:15" s="22" customFormat="1" ht="16" thickBot="1" x14ac:dyDescent="0.25">
      <c r="A16" s="19" t="s">
        <v>5</v>
      </c>
      <c r="B16" s="20">
        <v>3</v>
      </c>
      <c r="C16" s="19" t="s">
        <v>9</v>
      </c>
      <c r="D16" s="19" t="s">
        <v>97</v>
      </c>
      <c r="E16" s="19" t="s">
        <v>50</v>
      </c>
      <c r="F16" s="20" t="s">
        <v>24</v>
      </c>
      <c r="G16" s="20" t="s">
        <v>19</v>
      </c>
      <c r="H16" s="14">
        <v>214030</v>
      </c>
      <c r="I16" s="21"/>
      <c r="J16" s="15">
        <f>1248/132</f>
        <v>9.454545454545455</v>
      </c>
      <c r="K16" s="18">
        <f t="shared" si="0"/>
        <v>2023556.3636363638</v>
      </c>
      <c r="L16" s="20">
        <v>4</v>
      </c>
      <c r="M16" s="20" t="s">
        <v>66</v>
      </c>
      <c r="N16" s="20" t="s">
        <v>65</v>
      </c>
      <c r="O16" s="20" t="s">
        <v>67</v>
      </c>
    </row>
    <row r="17" spans="1:15" ht="16" thickBot="1" x14ac:dyDescent="0.25">
      <c r="A17" s="4" t="s">
        <v>5</v>
      </c>
      <c r="B17" s="3">
        <v>3</v>
      </c>
      <c r="C17" s="4" t="s">
        <v>9</v>
      </c>
      <c r="D17" s="4" t="s">
        <v>99</v>
      </c>
      <c r="E17" s="4" t="s">
        <v>55</v>
      </c>
      <c r="F17" s="3" t="s">
        <v>24</v>
      </c>
      <c r="G17" s="3" t="s">
        <v>19</v>
      </c>
      <c r="H17" s="5">
        <v>27838</v>
      </c>
      <c r="I17" s="12"/>
      <c r="J17" s="13">
        <v>25.63</v>
      </c>
      <c r="K17" s="16">
        <f t="shared" si="0"/>
        <v>713487.94</v>
      </c>
      <c r="L17" s="3">
        <v>2</v>
      </c>
      <c r="M17" s="3" t="s">
        <v>69</v>
      </c>
      <c r="N17" s="3" t="s">
        <v>68</v>
      </c>
      <c r="O17" s="3"/>
    </row>
    <row r="18" spans="1:15" ht="16" thickBot="1" x14ac:dyDescent="0.25">
      <c r="A18" s="4" t="s">
        <v>5</v>
      </c>
      <c r="B18" s="3">
        <v>3</v>
      </c>
      <c r="C18" s="4" t="s">
        <v>9</v>
      </c>
      <c r="D18" s="4" t="s">
        <v>100</v>
      </c>
      <c r="E18" s="4" t="s">
        <v>50</v>
      </c>
      <c r="F18" s="3" t="s">
        <v>24</v>
      </c>
      <c r="G18" s="3" t="s">
        <v>19</v>
      </c>
      <c r="H18" s="5">
        <v>138982</v>
      </c>
      <c r="I18" s="12"/>
      <c r="J18" s="13">
        <v>12.82</v>
      </c>
      <c r="K18" s="16">
        <f t="shared" si="0"/>
        <v>1781749.24</v>
      </c>
      <c r="L18" s="3">
        <v>3</v>
      </c>
      <c r="M18" s="3" t="s">
        <v>70</v>
      </c>
      <c r="N18" s="3" t="s">
        <v>71</v>
      </c>
      <c r="O18" s="3" t="s">
        <v>72</v>
      </c>
    </row>
    <row r="19" spans="1:15" ht="16" thickBot="1" x14ac:dyDescent="0.25">
      <c r="A19" s="4" t="s">
        <v>5</v>
      </c>
      <c r="B19" s="3">
        <v>3</v>
      </c>
      <c r="C19" s="4" t="s">
        <v>9</v>
      </c>
      <c r="D19" s="4" t="s">
        <v>39</v>
      </c>
      <c r="E19" s="4" t="s">
        <v>55</v>
      </c>
      <c r="F19" s="3" t="s">
        <v>24</v>
      </c>
      <c r="G19" s="3" t="s">
        <v>19</v>
      </c>
      <c r="H19" s="5">
        <v>5707</v>
      </c>
      <c r="I19" s="12"/>
      <c r="J19" s="13">
        <f>4694/132</f>
        <v>35.560606060606062</v>
      </c>
      <c r="K19" s="16">
        <f t="shared" si="0"/>
        <v>202944.37878787878</v>
      </c>
      <c r="L19" s="3">
        <v>2</v>
      </c>
      <c r="M19" s="3" t="s">
        <v>73</v>
      </c>
      <c r="N19" s="3" t="s">
        <v>62</v>
      </c>
      <c r="O19" s="3"/>
    </row>
    <row r="20" spans="1:15" s="22" customFormat="1" ht="16" thickBot="1" x14ac:dyDescent="0.25">
      <c r="A20" s="19" t="s">
        <v>5</v>
      </c>
      <c r="B20" s="20">
        <v>3</v>
      </c>
      <c r="C20" s="19" t="s">
        <v>9</v>
      </c>
      <c r="D20" s="19" t="s">
        <v>74</v>
      </c>
      <c r="E20" s="19" t="s">
        <v>75</v>
      </c>
      <c r="F20" s="20" t="s">
        <v>24</v>
      </c>
      <c r="G20" s="20" t="s">
        <v>19</v>
      </c>
      <c r="H20" s="14">
        <v>112547</v>
      </c>
      <c r="I20" s="21"/>
      <c r="J20" s="15">
        <f>1025/132</f>
        <v>7.7651515151515156</v>
      </c>
      <c r="K20" s="18">
        <f t="shared" si="0"/>
        <v>873944.50757575757</v>
      </c>
      <c r="L20" s="20">
        <v>2</v>
      </c>
      <c r="M20" s="20" t="s">
        <v>77</v>
      </c>
      <c r="N20" s="20" t="s">
        <v>78</v>
      </c>
      <c r="O20" s="20"/>
    </row>
    <row r="21" spans="1:15" s="22" customFormat="1" ht="16" thickBot="1" x14ac:dyDescent="0.25">
      <c r="A21" s="19" t="s">
        <v>5</v>
      </c>
      <c r="B21" s="20">
        <v>3</v>
      </c>
      <c r="C21" s="19" t="s">
        <v>9</v>
      </c>
      <c r="D21" s="19" t="s">
        <v>74</v>
      </c>
      <c r="E21" s="19" t="s">
        <v>76</v>
      </c>
      <c r="F21" s="20" t="s">
        <v>24</v>
      </c>
      <c r="G21" s="20" t="s">
        <v>19</v>
      </c>
      <c r="H21" s="14">
        <v>67164</v>
      </c>
      <c r="I21" s="21"/>
      <c r="J21" s="15">
        <f>2330/132</f>
        <v>17.651515151515152</v>
      </c>
      <c r="K21" s="18">
        <f t="shared" si="0"/>
        <v>1185546.3636363638</v>
      </c>
      <c r="L21" s="20">
        <v>1</v>
      </c>
      <c r="M21" s="20" t="s">
        <v>33</v>
      </c>
      <c r="N21" s="20"/>
      <c r="O21" s="20"/>
    </row>
    <row r="22" spans="1:15" s="22" customFormat="1" ht="16" thickBot="1" x14ac:dyDescent="0.25">
      <c r="A22" s="19" t="s">
        <v>10</v>
      </c>
      <c r="B22" s="20">
        <v>1</v>
      </c>
      <c r="C22" s="19" t="s">
        <v>11</v>
      </c>
      <c r="D22" s="19" t="s">
        <v>241</v>
      </c>
      <c r="E22" s="19" t="s">
        <v>79</v>
      </c>
      <c r="F22" s="20" t="s">
        <v>24</v>
      </c>
      <c r="G22" s="20" t="s">
        <v>19</v>
      </c>
      <c r="H22" s="14">
        <v>426030</v>
      </c>
      <c r="I22" s="21"/>
      <c r="J22" s="15">
        <f>351.52/132</f>
        <v>2.6630303030303031</v>
      </c>
      <c r="K22" s="18">
        <f t="shared" si="0"/>
        <v>1134530.8</v>
      </c>
      <c r="L22" s="20">
        <v>1</v>
      </c>
      <c r="M22" s="20" t="s">
        <v>30</v>
      </c>
      <c r="N22" s="20"/>
      <c r="O22" s="20"/>
    </row>
    <row r="23" spans="1:15" s="22" customFormat="1" ht="16" thickBot="1" x14ac:dyDescent="0.25">
      <c r="A23" s="19" t="s">
        <v>10</v>
      </c>
      <c r="B23" s="20">
        <v>2</v>
      </c>
      <c r="C23" s="19" t="s">
        <v>11</v>
      </c>
      <c r="D23" s="19" t="s">
        <v>80</v>
      </c>
      <c r="E23" s="19" t="s">
        <v>79</v>
      </c>
      <c r="F23" s="20" t="s">
        <v>24</v>
      </c>
      <c r="G23" s="20" t="s">
        <v>19</v>
      </c>
      <c r="H23" s="14">
        <v>426030</v>
      </c>
      <c r="I23" s="21"/>
      <c r="J23" s="15">
        <f>866.14/132</f>
        <v>6.5616666666666665</v>
      </c>
      <c r="K23" s="18">
        <f t="shared" si="0"/>
        <v>2795466.85</v>
      </c>
      <c r="L23" s="20">
        <v>1</v>
      </c>
      <c r="M23" s="20" t="s">
        <v>30</v>
      </c>
      <c r="N23" s="20"/>
      <c r="O23" s="20"/>
    </row>
    <row r="24" spans="1:15" ht="25" thickBot="1" x14ac:dyDescent="0.25">
      <c r="A24" s="4" t="s">
        <v>12</v>
      </c>
      <c r="B24" s="3">
        <v>1</v>
      </c>
      <c r="C24" s="4" t="s">
        <v>40</v>
      </c>
      <c r="D24" s="4" t="s">
        <v>101</v>
      </c>
      <c r="E24" s="4" t="s">
        <v>81</v>
      </c>
      <c r="F24" s="3" t="s">
        <v>21</v>
      </c>
      <c r="G24" s="3" t="s">
        <v>31</v>
      </c>
      <c r="H24" s="5"/>
      <c r="I24" s="12">
        <v>66</v>
      </c>
      <c r="J24" s="13">
        <v>58</v>
      </c>
      <c r="K24" s="16">
        <f t="shared" si="0"/>
        <v>3828</v>
      </c>
      <c r="L24" s="3">
        <v>1</v>
      </c>
      <c r="M24" s="3" t="s">
        <v>32</v>
      </c>
      <c r="N24" s="3"/>
      <c r="O24" s="3"/>
    </row>
    <row r="25" spans="1:15" ht="16" thickBot="1" x14ac:dyDescent="0.25">
      <c r="A25" s="4" t="s">
        <v>12</v>
      </c>
      <c r="B25" s="3">
        <v>1</v>
      </c>
      <c r="C25" s="4" t="s">
        <v>13</v>
      </c>
      <c r="D25" s="4" t="s">
        <v>83</v>
      </c>
      <c r="E25" s="4" t="s">
        <v>82</v>
      </c>
      <c r="F25" s="3" t="s">
        <v>21</v>
      </c>
      <c r="G25" s="3" t="s">
        <v>31</v>
      </c>
      <c r="H25" s="5"/>
      <c r="I25" s="12">
        <v>600</v>
      </c>
      <c r="J25" s="13">
        <v>105</v>
      </c>
      <c r="K25" s="16">
        <f t="shared" si="0"/>
        <v>63000</v>
      </c>
      <c r="L25" s="3">
        <v>1</v>
      </c>
      <c r="M25" s="3" t="s">
        <v>32</v>
      </c>
      <c r="N25" s="3"/>
      <c r="O25" s="3"/>
    </row>
    <row r="26" spans="1:15" ht="16" thickBot="1" x14ac:dyDescent="0.25">
      <c r="A26" s="4" t="s">
        <v>12</v>
      </c>
      <c r="B26" s="3">
        <v>1</v>
      </c>
      <c r="C26" s="4" t="s">
        <v>13</v>
      </c>
      <c r="D26" s="4" t="s">
        <v>84</v>
      </c>
      <c r="E26" s="4" t="s">
        <v>82</v>
      </c>
      <c r="F26" s="3" t="s">
        <v>21</v>
      </c>
      <c r="G26" s="3" t="s">
        <v>31</v>
      </c>
      <c r="H26" s="5"/>
      <c r="I26" s="12">
        <v>5600</v>
      </c>
      <c r="J26" s="13">
        <v>241</v>
      </c>
      <c r="K26" s="16">
        <f t="shared" si="0"/>
        <v>1349600</v>
      </c>
      <c r="L26" s="3">
        <v>1</v>
      </c>
      <c r="M26" s="3" t="s">
        <v>32</v>
      </c>
      <c r="N26" s="3"/>
      <c r="O26" s="3"/>
    </row>
    <row r="27" spans="1:15" ht="19.5" customHeight="1" thickBot="1" x14ac:dyDescent="0.25">
      <c r="A27" s="4" t="s">
        <v>5</v>
      </c>
      <c r="B27" s="3">
        <v>4</v>
      </c>
      <c r="C27" s="4" t="s">
        <v>14</v>
      </c>
      <c r="D27" s="4" t="s">
        <v>85</v>
      </c>
      <c r="E27" s="4" t="s">
        <v>79</v>
      </c>
      <c r="F27" s="3" t="s">
        <v>24</v>
      </c>
      <c r="G27" s="3" t="s">
        <v>19</v>
      </c>
      <c r="H27" s="5">
        <v>70400</v>
      </c>
      <c r="I27" s="12"/>
      <c r="J27" s="13">
        <f>316/142</f>
        <v>2.2253521126760565</v>
      </c>
      <c r="K27" s="16">
        <f t="shared" si="0"/>
        <v>156664.78873239437</v>
      </c>
      <c r="L27" s="3">
        <v>5</v>
      </c>
      <c r="M27" s="3" t="s">
        <v>90</v>
      </c>
      <c r="N27" s="3" t="s">
        <v>91</v>
      </c>
      <c r="O27" s="3"/>
    </row>
    <row r="28" spans="1:15" s="22" customFormat="1" ht="19.5" customHeight="1" thickBot="1" x14ac:dyDescent="0.25">
      <c r="A28" s="19" t="s">
        <v>5</v>
      </c>
      <c r="B28" s="20">
        <v>4</v>
      </c>
      <c r="C28" s="19" t="s">
        <v>14</v>
      </c>
      <c r="D28" s="19" t="s">
        <v>92</v>
      </c>
      <c r="E28" s="19" t="s">
        <v>79</v>
      </c>
      <c r="F28" s="20" t="s">
        <v>24</v>
      </c>
      <c r="G28" s="20" t="s">
        <v>19</v>
      </c>
      <c r="H28" s="14">
        <v>674771</v>
      </c>
      <c r="I28" s="21"/>
      <c r="J28" s="15">
        <f>549/142</f>
        <v>3.8661971830985915</v>
      </c>
      <c r="K28" s="18">
        <f t="shared" si="0"/>
        <v>2608797.7394366199</v>
      </c>
      <c r="L28" s="20">
        <v>5</v>
      </c>
      <c r="M28" s="20" t="s">
        <v>95</v>
      </c>
      <c r="N28" s="20" t="s">
        <v>96</v>
      </c>
      <c r="O28" s="20"/>
    </row>
    <row r="29" spans="1:15" s="22" customFormat="1" ht="19.5" customHeight="1" thickBot="1" x14ac:dyDescent="0.25">
      <c r="A29" s="19" t="s">
        <v>5</v>
      </c>
      <c r="B29" s="20">
        <v>4</v>
      </c>
      <c r="C29" s="19" t="s">
        <v>14</v>
      </c>
      <c r="D29" s="19" t="s">
        <v>93</v>
      </c>
      <c r="E29" s="19" t="s">
        <v>79</v>
      </c>
      <c r="F29" s="20" t="s">
        <v>24</v>
      </c>
      <c r="G29" s="20" t="s">
        <v>19</v>
      </c>
      <c r="H29" s="14">
        <v>326825</v>
      </c>
      <c r="I29" s="21"/>
      <c r="J29" s="15">
        <f>840/142</f>
        <v>5.915492957746479</v>
      </c>
      <c r="K29" s="18">
        <f t="shared" si="0"/>
        <v>1933330.985915493</v>
      </c>
      <c r="L29" s="20">
        <v>2</v>
      </c>
      <c r="M29" s="20" t="s">
        <v>22</v>
      </c>
      <c r="N29" s="20" t="s">
        <v>94</v>
      </c>
      <c r="O29" s="20"/>
    </row>
    <row r="30" spans="1:15" s="22" customFormat="1" ht="19.5" customHeight="1" thickBot="1" x14ac:dyDescent="0.25">
      <c r="A30" s="19" t="s">
        <v>5</v>
      </c>
      <c r="B30" s="20">
        <v>4</v>
      </c>
      <c r="C30" s="19" t="s">
        <v>14</v>
      </c>
      <c r="D30" s="19" t="s">
        <v>89</v>
      </c>
      <c r="E30" s="19" t="s">
        <v>79</v>
      </c>
      <c r="F30" s="20" t="s">
        <v>24</v>
      </c>
      <c r="G30" s="20" t="s">
        <v>19</v>
      </c>
      <c r="H30" s="14">
        <v>743027</v>
      </c>
      <c r="I30" s="21"/>
      <c r="J30" s="15">
        <f>1470/142</f>
        <v>10.352112676056338</v>
      </c>
      <c r="K30" s="18">
        <f t="shared" si="0"/>
        <v>7691899.2253521122</v>
      </c>
      <c r="L30" s="20">
        <v>5</v>
      </c>
      <c r="M30" s="20" t="s">
        <v>86</v>
      </c>
      <c r="N30" s="20" t="s">
        <v>87</v>
      </c>
      <c r="O30" s="20" t="s">
        <v>88</v>
      </c>
    </row>
    <row r="31" spans="1:15" ht="16" thickBot="1" x14ac:dyDescent="0.25">
      <c r="A31" s="4" t="s">
        <v>5</v>
      </c>
      <c r="B31" s="3">
        <v>2</v>
      </c>
      <c r="C31" s="4" t="s">
        <v>102</v>
      </c>
      <c r="D31" s="4" t="s">
        <v>232</v>
      </c>
      <c r="E31" s="4" t="s">
        <v>231</v>
      </c>
      <c r="F31" s="3" t="s">
        <v>24</v>
      </c>
      <c r="G31" s="3" t="s">
        <v>19</v>
      </c>
      <c r="H31" s="5">
        <v>379599</v>
      </c>
      <c r="I31" s="12"/>
      <c r="J31" s="13">
        <v>3.528169014084507</v>
      </c>
      <c r="K31" s="16">
        <f t="shared" si="0"/>
        <v>1339289.4295774647</v>
      </c>
      <c r="L31" s="3">
        <v>2</v>
      </c>
      <c r="M31" s="3" t="s">
        <v>103</v>
      </c>
      <c r="N31" s="3" t="s">
        <v>104</v>
      </c>
      <c r="O31" s="3"/>
    </row>
    <row r="32" spans="1:15" ht="19.5" customHeight="1" thickBot="1" x14ac:dyDescent="0.25">
      <c r="A32" s="4" t="s">
        <v>5</v>
      </c>
      <c r="B32" s="3">
        <v>2</v>
      </c>
      <c r="C32" s="4" t="s">
        <v>102</v>
      </c>
      <c r="D32" s="4" t="s">
        <v>234</v>
      </c>
      <c r="E32" s="4" t="s">
        <v>233</v>
      </c>
      <c r="F32" s="3" t="s">
        <v>24</v>
      </c>
      <c r="G32" s="3" t="s">
        <v>19</v>
      </c>
      <c r="H32" s="5">
        <v>37583</v>
      </c>
      <c r="I32" s="12"/>
      <c r="J32" s="13">
        <v>5.922535211267606</v>
      </c>
      <c r="K32" s="16">
        <f t="shared" si="0"/>
        <v>222586.64084507045</v>
      </c>
      <c r="L32" s="3">
        <v>1</v>
      </c>
      <c r="M32" s="3" t="s">
        <v>33</v>
      </c>
      <c r="N32" s="3"/>
      <c r="O32" s="3"/>
    </row>
    <row r="33" spans="1:15" ht="19.5" customHeight="1" thickBot="1" x14ac:dyDescent="0.25">
      <c r="A33" s="4" t="s">
        <v>5</v>
      </c>
      <c r="B33" s="3">
        <v>2</v>
      </c>
      <c r="C33" s="4" t="s">
        <v>102</v>
      </c>
      <c r="D33" s="4" t="s">
        <v>235</v>
      </c>
      <c r="E33" s="4" t="s">
        <v>50</v>
      </c>
      <c r="F33" s="3" t="s">
        <v>24</v>
      </c>
      <c r="G33" s="3" t="s">
        <v>19</v>
      </c>
      <c r="H33" s="5">
        <v>1617</v>
      </c>
      <c r="I33" s="12"/>
      <c r="J33" s="13">
        <v>12.309859154929578</v>
      </c>
      <c r="K33" s="16">
        <f t="shared" si="0"/>
        <v>19905.042253521129</v>
      </c>
      <c r="L33" s="3">
        <v>1</v>
      </c>
      <c r="M33" s="3" t="s">
        <v>33</v>
      </c>
      <c r="N33" s="3"/>
      <c r="O33" s="3"/>
    </row>
    <row r="34" spans="1:15" ht="19.5" customHeight="1" thickBot="1" x14ac:dyDescent="0.25">
      <c r="A34" s="4" t="s">
        <v>5</v>
      </c>
      <c r="B34" s="3">
        <v>2</v>
      </c>
      <c r="C34" s="4" t="s">
        <v>102</v>
      </c>
      <c r="D34" s="4" t="s">
        <v>249</v>
      </c>
      <c r="E34" s="4" t="s">
        <v>231</v>
      </c>
      <c r="F34" s="3" t="s">
        <v>24</v>
      </c>
      <c r="G34" s="3" t="s">
        <v>19</v>
      </c>
      <c r="H34" s="5">
        <v>150068</v>
      </c>
      <c r="I34" s="12"/>
      <c r="J34" s="13">
        <v>1.8712121212121211</v>
      </c>
      <c r="K34" s="16">
        <f t="shared" si="0"/>
        <v>280809.06060606061</v>
      </c>
      <c r="L34" s="3">
        <v>2</v>
      </c>
      <c r="M34" s="3" t="s">
        <v>56</v>
      </c>
      <c r="N34" s="3" t="s">
        <v>105</v>
      </c>
      <c r="O34" s="3"/>
    </row>
    <row r="35" spans="1:15" ht="19.5" customHeight="1" thickBot="1" x14ac:dyDescent="0.25">
      <c r="A35" s="4"/>
      <c r="B35" s="3"/>
      <c r="C35" s="4" t="s">
        <v>102</v>
      </c>
      <c r="D35" s="10" t="s">
        <v>242</v>
      </c>
      <c r="E35" s="4" t="s">
        <v>50</v>
      </c>
      <c r="F35" s="3"/>
      <c r="G35" s="3"/>
      <c r="H35" s="5"/>
      <c r="I35" s="12"/>
      <c r="J35" s="13">
        <v>7.394366197183099</v>
      </c>
      <c r="K35" s="16">
        <f t="shared" si="0"/>
        <v>0</v>
      </c>
      <c r="L35" s="3"/>
      <c r="M35" s="3"/>
      <c r="N35" s="3"/>
      <c r="O35" s="3"/>
    </row>
    <row r="36" spans="1:15" ht="19.5" customHeight="1" thickBot="1" x14ac:dyDescent="0.25">
      <c r="A36" s="4"/>
      <c r="B36" s="3"/>
      <c r="C36" s="4" t="s">
        <v>102</v>
      </c>
      <c r="D36" s="10" t="s">
        <v>243</v>
      </c>
      <c r="E36" s="4" t="s">
        <v>50</v>
      </c>
      <c r="F36" s="3"/>
      <c r="G36" s="3"/>
      <c r="H36" s="5"/>
      <c r="I36" s="12"/>
      <c r="J36" s="13">
        <v>14.133802816901408</v>
      </c>
      <c r="K36" s="16">
        <f t="shared" si="0"/>
        <v>0</v>
      </c>
      <c r="L36" s="3"/>
      <c r="M36" s="3"/>
      <c r="N36" s="3"/>
      <c r="O36" s="3"/>
    </row>
    <row r="37" spans="1:15" ht="19.5" customHeight="1" thickBot="1" x14ac:dyDescent="0.25">
      <c r="A37" s="4"/>
      <c r="B37" s="3"/>
      <c r="C37" s="4" t="s">
        <v>102</v>
      </c>
      <c r="D37" s="11" t="s">
        <v>244</v>
      </c>
      <c r="E37" s="4" t="s">
        <v>50</v>
      </c>
      <c r="F37" s="3"/>
      <c r="G37" s="3"/>
      <c r="H37" s="5"/>
      <c r="I37" s="12"/>
      <c r="J37" s="13">
        <v>4.823943661971831</v>
      </c>
      <c r="K37" s="16">
        <f t="shared" si="0"/>
        <v>0</v>
      </c>
      <c r="L37" s="3"/>
      <c r="M37" s="3"/>
      <c r="N37" s="3"/>
      <c r="O37" s="3"/>
    </row>
    <row r="38" spans="1:15" ht="19.5" customHeight="1" thickBot="1" x14ac:dyDescent="0.25">
      <c r="A38" s="4" t="s">
        <v>5</v>
      </c>
      <c r="B38" s="3">
        <v>2</v>
      </c>
      <c r="C38" s="4" t="s">
        <v>106</v>
      </c>
      <c r="D38" s="4" t="s">
        <v>107</v>
      </c>
      <c r="E38" s="4" t="s">
        <v>50</v>
      </c>
      <c r="F38" s="3" t="s">
        <v>24</v>
      </c>
      <c r="G38" s="3" t="s">
        <v>19</v>
      </c>
      <c r="H38" s="5">
        <v>161879</v>
      </c>
      <c r="I38" s="12"/>
      <c r="J38" s="13">
        <v>13.915492957746478</v>
      </c>
      <c r="K38" s="16">
        <f t="shared" si="0"/>
        <v>2252626.0845070421</v>
      </c>
      <c r="L38" s="3">
        <v>1</v>
      </c>
      <c r="M38" s="3" t="s">
        <v>33</v>
      </c>
      <c r="N38" s="3"/>
      <c r="O38" s="3"/>
    </row>
    <row r="39" spans="1:15" ht="19.5" customHeight="1" thickBot="1" x14ac:dyDescent="0.25">
      <c r="A39" s="4" t="s">
        <v>5</v>
      </c>
      <c r="B39" s="3">
        <v>2</v>
      </c>
      <c r="C39" s="4" t="s">
        <v>108</v>
      </c>
      <c r="D39" s="4" t="s">
        <v>109</v>
      </c>
      <c r="E39" s="4" t="s">
        <v>110</v>
      </c>
      <c r="F39" s="3" t="s">
        <v>24</v>
      </c>
      <c r="G39" s="3" t="s">
        <v>19</v>
      </c>
      <c r="H39" s="5">
        <v>70804</v>
      </c>
      <c r="I39" s="12"/>
      <c r="J39" s="13">
        <f>3961/142</f>
        <v>27.8943661971831</v>
      </c>
      <c r="K39" s="16">
        <f t="shared" si="0"/>
        <v>1975032.7042253523</v>
      </c>
      <c r="L39" s="3">
        <v>2</v>
      </c>
      <c r="M39" s="3" t="s">
        <v>111</v>
      </c>
      <c r="N39" s="3" t="s">
        <v>112</v>
      </c>
      <c r="O39" s="3"/>
    </row>
    <row r="40" spans="1:15" s="29" customFormat="1" ht="19.5" customHeight="1" thickBot="1" x14ac:dyDescent="0.25">
      <c r="A40" s="23" t="s">
        <v>113</v>
      </c>
      <c r="B40" s="24">
        <v>1</v>
      </c>
      <c r="C40" s="23" t="s">
        <v>114</v>
      </c>
      <c r="D40" s="23" t="s">
        <v>115</v>
      </c>
      <c r="E40" s="23" t="s">
        <v>116</v>
      </c>
      <c r="F40" s="24" t="s">
        <v>24</v>
      </c>
      <c r="G40" s="24" t="s">
        <v>19</v>
      </c>
      <c r="H40" s="25">
        <v>10084</v>
      </c>
      <c r="I40" s="26"/>
      <c r="J40" s="27">
        <v>16.59</v>
      </c>
      <c r="K40" s="28">
        <f t="shared" si="0"/>
        <v>167293.56</v>
      </c>
      <c r="L40" s="24">
        <v>1</v>
      </c>
      <c r="M40" s="24" t="s">
        <v>117</v>
      </c>
      <c r="N40" s="24"/>
      <c r="O40" s="24"/>
    </row>
    <row r="41" spans="1:15" s="29" customFormat="1" ht="19.5" customHeight="1" thickBot="1" x14ac:dyDescent="0.25">
      <c r="A41" s="23" t="s">
        <v>113</v>
      </c>
      <c r="B41" s="24">
        <v>1</v>
      </c>
      <c r="C41" s="23" t="s">
        <v>114</v>
      </c>
      <c r="D41" s="23" t="s">
        <v>118</v>
      </c>
      <c r="E41" s="23" t="s">
        <v>119</v>
      </c>
      <c r="F41" s="24" t="s">
        <v>24</v>
      </c>
      <c r="G41" s="24" t="s">
        <v>19</v>
      </c>
      <c r="H41" s="25">
        <v>66686</v>
      </c>
      <c r="I41" s="26"/>
      <c r="J41" s="27">
        <f>+J42*2.8</f>
        <v>200.81599999999997</v>
      </c>
      <c r="K41" s="28">
        <f t="shared" si="0"/>
        <v>13391615.775999999</v>
      </c>
      <c r="L41" s="24">
        <v>1</v>
      </c>
      <c r="M41" s="24" t="s">
        <v>117</v>
      </c>
      <c r="N41" s="24"/>
      <c r="O41" s="24"/>
    </row>
    <row r="42" spans="1:15" s="29" customFormat="1" ht="19.5" customHeight="1" thickBot="1" x14ac:dyDescent="0.25">
      <c r="A42" s="23" t="s">
        <v>113</v>
      </c>
      <c r="B42" s="24">
        <v>1</v>
      </c>
      <c r="C42" s="23" t="s">
        <v>114</v>
      </c>
      <c r="D42" s="23" t="s">
        <v>120</v>
      </c>
      <c r="E42" s="23" t="s">
        <v>121</v>
      </c>
      <c r="F42" s="24" t="s">
        <v>24</v>
      </c>
      <c r="G42" s="24" t="s">
        <v>19</v>
      </c>
      <c r="H42" s="25">
        <v>120589</v>
      </c>
      <c r="I42" s="26"/>
      <c r="J42" s="27">
        <v>71.72</v>
      </c>
      <c r="K42" s="28">
        <f t="shared" si="0"/>
        <v>8648643.0800000001</v>
      </c>
      <c r="L42" s="24">
        <v>1</v>
      </c>
      <c r="M42" s="24" t="s">
        <v>117</v>
      </c>
      <c r="N42" s="24"/>
      <c r="O42" s="24"/>
    </row>
    <row r="43" spans="1:15" s="29" customFormat="1" ht="19.5" customHeight="1" thickBot="1" x14ac:dyDescent="0.25">
      <c r="A43" s="23" t="s">
        <v>122</v>
      </c>
      <c r="B43" s="24">
        <v>1</v>
      </c>
      <c r="C43" s="23" t="s">
        <v>123</v>
      </c>
      <c r="D43" s="23" t="s">
        <v>124</v>
      </c>
      <c r="E43" s="23" t="s">
        <v>125</v>
      </c>
      <c r="F43" s="24" t="s">
        <v>24</v>
      </c>
      <c r="G43" s="24" t="s">
        <v>19</v>
      </c>
      <c r="H43" s="25">
        <v>1568091</v>
      </c>
      <c r="I43" s="26"/>
      <c r="J43" s="27">
        <v>4.1500000000000004</v>
      </c>
      <c r="K43" s="28">
        <f t="shared" si="0"/>
        <v>6507577.6500000004</v>
      </c>
      <c r="L43" s="24">
        <v>2</v>
      </c>
      <c r="M43" s="24" t="s">
        <v>126</v>
      </c>
      <c r="N43" s="24" t="s">
        <v>127</v>
      </c>
      <c r="O43" s="24"/>
    </row>
    <row r="44" spans="1:15" s="22" customFormat="1" ht="19.5" customHeight="1" thickBot="1" x14ac:dyDescent="0.25">
      <c r="A44" s="19" t="s">
        <v>113</v>
      </c>
      <c r="B44" s="20">
        <v>1</v>
      </c>
      <c r="C44" s="19" t="s">
        <v>128</v>
      </c>
      <c r="D44" s="19" t="s">
        <v>129</v>
      </c>
      <c r="E44" s="19" t="s">
        <v>130</v>
      </c>
      <c r="F44" s="20" t="s">
        <v>24</v>
      </c>
      <c r="G44" s="20" t="s">
        <v>19</v>
      </c>
      <c r="H44" s="14">
        <v>3114292</v>
      </c>
      <c r="I44" s="21"/>
      <c r="J44" s="15">
        <v>6.683098591549296</v>
      </c>
      <c r="K44" s="18">
        <f t="shared" si="0"/>
        <v>20813120.478873242</v>
      </c>
      <c r="L44" s="20">
        <v>9</v>
      </c>
      <c r="M44" s="20" t="s">
        <v>131</v>
      </c>
      <c r="N44" s="20" t="s">
        <v>132</v>
      </c>
      <c r="O44" s="20" t="s">
        <v>133</v>
      </c>
    </row>
    <row r="45" spans="1:15" ht="19.5" customHeight="1" thickBot="1" x14ac:dyDescent="0.25">
      <c r="A45" s="4" t="s">
        <v>113</v>
      </c>
      <c r="B45" s="3">
        <v>2</v>
      </c>
      <c r="C45" s="4" t="s">
        <v>128</v>
      </c>
      <c r="D45" s="4" t="s">
        <v>129</v>
      </c>
      <c r="E45" s="4" t="s">
        <v>245</v>
      </c>
      <c r="F45" s="3" t="s">
        <v>24</v>
      </c>
      <c r="G45" s="3" t="s">
        <v>19</v>
      </c>
      <c r="H45" s="5"/>
      <c r="I45" s="12"/>
      <c r="J45" s="13">
        <v>20.049295774647888</v>
      </c>
      <c r="K45" s="16">
        <f t="shared" si="0"/>
        <v>0</v>
      </c>
      <c r="L45" s="3">
        <v>9</v>
      </c>
      <c r="M45" s="3" t="s">
        <v>131</v>
      </c>
      <c r="N45" s="3" t="s">
        <v>132</v>
      </c>
      <c r="O45" s="3" t="s">
        <v>133</v>
      </c>
    </row>
    <row r="46" spans="1:15" s="22" customFormat="1" ht="19.5" customHeight="1" thickBot="1" x14ac:dyDescent="0.25">
      <c r="A46" s="19" t="s">
        <v>113</v>
      </c>
      <c r="B46" s="20">
        <v>1</v>
      </c>
      <c r="C46" s="19" t="s">
        <v>134</v>
      </c>
      <c r="D46" s="19" t="s">
        <v>135</v>
      </c>
      <c r="E46" s="19" t="s">
        <v>136</v>
      </c>
      <c r="F46" s="20" t="s">
        <v>24</v>
      </c>
      <c r="G46" s="20" t="s">
        <v>19</v>
      </c>
      <c r="H46" s="14">
        <v>1046767</v>
      </c>
      <c r="I46" s="21"/>
      <c r="J46" s="15">
        <v>8.7464788732394361</v>
      </c>
      <c r="K46" s="18">
        <f t="shared" si="0"/>
        <v>9155525.4507042244</v>
      </c>
      <c r="L46" s="20">
        <v>3</v>
      </c>
      <c r="M46" s="20" t="s">
        <v>137</v>
      </c>
      <c r="N46" s="20" t="s">
        <v>138</v>
      </c>
      <c r="O46" s="20" t="s">
        <v>139</v>
      </c>
    </row>
    <row r="47" spans="1:15" s="22" customFormat="1" ht="19.5" customHeight="1" thickBot="1" x14ac:dyDescent="0.25">
      <c r="A47" s="19" t="s">
        <v>113</v>
      </c>
      <c r="B47" s="20">
        <v>1</v>
      </c>
      <c r="C47" s="19" t="s">
        <v>140</v>
      </c>
      <c r="D47" s="19" t="s">
        <v>141</v>
      </c>
      <c r="E47" s="19" t="s">
        <v>142</v>
      </c>
      <c r="F47" s="20" t="s">
        <v>24</v>
      </c>
      <c r="G47" s="20" t="s">
        <v>19</v>
      </c>
      <c r="H47" s="14">
        <v>490346</v>
      </c>
      <c r="I47" s="21"/>
      <c r="J47" s="15">
        <v>7.5</v>
      </c>
      <c r="K47" s="18">
        <f t="shared" si="0"/>
        <v>3677595</v>
      </c>
      <c r="L47" s="20">
        <v>8</v>
      </c>
      <c r="M47" s="20" t="s">
        <v>143</v>
      </c>
      <c r="N47" s="20" t="s">
        <v>144</v>
      </c>
      <c r="O47" s="20" t="s">
        <v>145</v>
      </c>
    </row>
    <row r="48" spans="1:15" ht="19.5" customHeight="1" thickBot="1" x14ac:dyDescent="0.25">
      <c r="A48" s="4" t="s">
        <v>113</v>
      </c>
      <c r="B48" s="3">
        <v>1</v>
      </c>
      <c r="C48" s="4" t="s">
        <v>140</v>
      </c>
      <c r="D48" s="4" t="s">
        <v>141</v>
      </c>
      <c r="E48" s="4" t="s">
        <v>146</v>
      </c>
      <c r="F48" s="3" t="s">
        <v>24</v>
      </c>
      <c r="G48" s="3" t="s">
        <v>19</v>
      </c>
      <c r="H48" s="5">
        <v>385805</v>
      </c>
      <c r="I48" s="12"/>
      <c r="J48" s="13">
        <v>2.8732394366197185</v>
      </c>
      <c r="K48" s="16">
        <f t="shared" si="0"/>
        <v>1108510.1408450706</v>
      </c>
      <c r="L48" s="3">
        <v>6</v>
      </c>
      <c r="M48" s="3" t="s">
        <v>147</v>
      </c>
      <c r="N48" s="3" t="s">
        <v>148</v>
      </c>
      <c r="O48" s="3"/>
    </row>
    <row r="49" spans="1:15" ht="19.5" customHeight="1" thickBot="1" x14ac:dyDescent="0.25">
      <c r="A49" s="4" t="s">
        <v>113</v>
      </c>
      <c r="B49" s="3">
        <v>1</v>
      </c>
      <c r="C49" s="4" t="s">
        <v>140</v>
      </c>
      <c r="D49" s="4" t="s">
        <v>141</v>
      </c>
      <c r="E49" s="4" t="s">
        <v>149</v>
      </c>
      <c r="F49" s="3" t="s">
        <v>24</v>
      </c>
      <c r="G49" s="3" t="s">
        <v>19</v>
      </c>
      <c r="H49" s="5">
        <v>8809</v>
      </c>
      <c r="I49" s="12"/>
      <c r="J49" s="13">
        <v>5.31</v>
      </c>
      <c r="K49" s="16">
        <f t="shared" si="0"/>
        <v>46775.789999999994</v>
      </c>
      <c r="L49" s="3">
        <v>6</v>
      </c>
      <c r="M49" s="3" t="s">
        <v>150</v>
      </c>
      <c r="N49" s="3" t="s">
        <v>151</v>
      </c>
      <c r="O49" s="3" t="s">
        <v>152</v>
      </c>
    </row>
    <row r="50" spans="1:15" ht="19.5" customHeight="1" thickBot="1" x14ac:dyDescent="0.25">
      <c r="A50" s="4" t="s">
        <v>113</v>
      </c>
      <c r="B50" s="3">
        <v>1</v>
      </c>
      <c r="C50" s="4" t="s">
        <v>140</v>
      </c>
      <c r="D50" s="4" t="s">
        <v>141</v>
      </c>
      <c r="E50" s="4" t="s">
        <v>153</v>
      </c>
      <c r="F50" s="3" t="s">
        <v>24</v>
      </c>
      <c r="G50" s="3" t="s">
        <v>19</v>
      </c>
      <c r="H50" s="5">
        <v>165564</v>
      </c>
      <c r="I50" s="12"/>
      <c r="J50" s="13">
        <v>9.99</v>
      </c>
      <c r="K50" s="16">
        <f t="shared" si="0"/>
        <v>1653984.36</v>
      </c>
      <c r="L50" s="3">
        <v>3</v>
      </c>
      <c r="M50" s="3" t="s">
        <v>154</v>
      </c>
      <c r="N50" s="3" t="s">
        <v>155</v>
      </c>
      <c r="O50" s="3" t="s">
        <v>156</v>
      </c>
    </row>
    <row r="51" spans="1:15" ht="19.5" customHeight="1" thickBot="1" x14ac:dyDescent="0.25">
      <c r="A51" s="4" t="s">
        <v>113</v>
      </c>
      <c r="B51" s="3">
        <v>1</v>
      </c>
      <c r="C51" s="4" t="s">
        <v>140</v>
      </c>
      <c r="D51" s="4" t="s">
        <v>141</v>
      </c>
      <c r="E51" s="4" t="s">
        <v>157</v>
      </c>
      <c r="F51" s="3" t="s">
        <v>24</v>
      </c>
      <c r="G51" s="3" t="s">
        <v>19</v>
      </c>
      <c r="H51" s="5">
        <v>4195</v>
      </c>
      <c r="I51" s="12"/>
      <c r="J51" s="13">
        <v>14.65</v>
      </c>
      <c r="K51" s="16">
        <f t="shared" si="0"/>
        <v>61456.75</v>
      </c>
      <c r="L51" s="3">
        <v>1</v>
      </c>
      <c r="M51" s="3" t="s">
        <v>158</v>
      </c>
      <c r="N51" s="3"/>
      <c r="O51" s="3"/>
    </row>
    <row r="52" spans="1:15" ht="19.5" customHeight="1" thickBot="1" x14ac:dyDescent="0.25">
      <c r="A52" s="4" t="s">
        <v>113</v>
      </c>
      <c r="B52" s="3">
        <v>2</v>
      </c>
      <c r="C52" s="4" t="s">
        <v>159</v>
      </c>
      <c r="D52" s="4" t="s">
        <v>160</v>
      </c>
      <c r="E52" s="4" t="s">
        <v>161</v>
      </c>
      <c r="F52" s="3" t="s">
        <v>162</v>
      </c>
      <c r="G52" s="3"/>
      <c r="H52" s="14">
        <v>311429</v>
      </c>
      <c r="I52" s="12"/>
      <c r="J52" s="15">
        <v>8.75</v>
      </c>
      <c r="K52" s="16">
        <f t="shared" si="0"/>
        <v>2725003.75</v>
      </c>
      <c r="L52" s="3" t="s">
        <v>162</v>
      </c>
      <c r="M52" s="3" t="s">
        <v>163</v>
      </c>
      <c r="N52" s="3"/>
      <c r="O52" s="3"/>
    </row>
    <row r="53" spans="1:15" s="22" customFormat="1" ht="19.5" customHeight="1" thickBot="1" x14ac:dyDescent="0.25">
      <c r="A53" s="19" t="s">
        <v>164</v>
      </c>
      <c r="B53" s="20">
        <v>1</v>
      </c>
      <c r="C53" s="19" t="s">
        <v>165</v>
      </c>
      <c r="D53" s="19" t="s">
        <v>166</v>
      </c>
      <c r="E53" s="19" t="s">
        <v>167</v>
      </c>
      <c r="F53" s="20" t="s">
        <v>24</v>
      </c>
      <c r="G53" s="20" t="s">
        <v>31</v>
      </c>
      <c r="H53" s="14">
        <v>33976</v>
      </c>
      <c r="I53" s="21"/>
      <c r="J53" s="15">
        <v>4.2</v>
      </c>
      <c r="K53" s="18">
        <f t="shared" si="0"/>
        <v>142699.20000000001</v>
      </c>
      <c r="L53" s="20">
        <v>1</v>
      </c>
      <c r="M53" s="20" t="s">
        <v>168</v>
      </c>
      <c r="N53" s="20"/>
      <c r="O53" s="20"/>
    </row>
    <row r="54" spans="1:15" s="22" customFormat="1" ht="19.5" customHeight="1" thickBot="1" x14ac:dyDescent="0.25">
      <c r="A54" s="19" t="s">
        <v>164</v>
      </c>
      <c r="B54" s="20">
        <v>1</v>
      </c>
      <c r="C54" s="19" t="s">
        <v>165</v>
      </c>
      <c r="D54" s="19" t="s">
        <v>166</v>
      </c>
      <c r="E54" s="19" t="s">
        <v>169</v>
      </c>
      <c r="F54" s="20" t="s">
        <v>24</v>
      </c>
      <c r="G54" s="20" t="s">
        <v>31</v>
      </c>
      <c r="H54" s="14">
        <v>270642</v>
      </c>
      <c r="I54" s="21"/>
      <c r="J54" s="15">
        <v>3.21</v>
      </c>
      <c r="K54" s="18">
        <f t="shared" si="0"/>
        <v>868760.82</v>
      </c>
      <c r="L54" s="20">
        <v>2</v>
      </c>
      <c r="M54" s="20" t="s">
        <v>170</v>
      </c>
      <c r="N54" s="20" t="s">
        <v>171</v>
      </c>
      <c r="O54" s="20"/>
    </row>
    <row r="55" spans="1:15" s="22" customFormat="1" ht="19.5" customHeight="1" thickBot="1" x14ac:dyDescent="0.25">
      <c r="A55" s="19" t="s">
        <v>164</v>
      </c>
      <c r="B55" s="20">
        <v>1</v>
      </c>
      <c r="C55" s="19" t="s">
        <v>165</v>
      </c>
      <c r="D55" s="19" t="s">
        <v>166</v>
      </c>
      <c r="E55" s="19" t="s">
        <v>172</v>
      </c>
      <c r="F55" s="20" t="s">
        <v>24</v>
      </c>
      <c r="G55" s="20" t="s">
        <v>31</v>
      </c>
      <c r="H55" s="14">
        <v>273979</v>
      </c>
      <c r="I55" s="21"/>
      <c r="J55" s="15">
        <v>5.88</v>
      </c>
      <c r="K55" s="18">
        <f t="shared" si="0"/>
        <v>1610996.52</v>
      </c>
      <c r="L55" s="20">
        <v>2</v>
      </c>
      <c r="M55" s="20" t="s">
        <v>170</v>
      </c>
      <c r="N55" s="20" t="s">
        <v>171</v>
      </c>
      <c r="O55" s="20"/>
    </row>
    <row r="56" spans="1:15" ht="19.5" customHeight="1" thickBot="1" x14ac:dyDescent="0.25">
      <c r="A56" s="4" t="s">
        <v>173</v>
      </c>
      <c r="B56" s="3">
        <v>1</v>
      </c>
      <c r="C56" s="4" t="s">
        <v>174</v>
      </c>
      <c r="D56" s="4" t="s">
        <v>141</v>
      </c>
      <c r="E56" s="4" t="s">
        <v>175</v>
      </c>
      <c r="F56" s="3" t="s">
        <v>20</v>
      </c>
      <c r="G56" s="3" t="s">
        <v>31</v>
      </c>
      <c r="H56" s="5">
        <v>111892</v>
      </c>
      <c r="I56" s="12">
        <v>12000</v>
      </c>
      <c r="J56" s="13">
        <v>7.74</v>
      </c>
      <c r="K56" s="16">
        <f t="shared" si="0"/>
        <v>958924.08000000007</v>
      </c>
      <c r="L56" s="3">
        <v>2</v>
      </c>
      <c r="M56" s="3" t="s">
        <v>176</v>
      </c>
      <c r="N56" s="3" t="s">
        <v>177</v>
      </c>
      <c r="O56" s="3"/>
    </row>
    <row r="57" spans="1:15" ht="19.5" customHeight="1" thickBot="1" x14ac:dyDescent="0.25">
      <c r="A57" s="4" t="s">
        <v>164</v>
      </c>
      <c r="B57" s="3">
        <v>1</v>
      </c>
      <c r="C57" s="4" t="s">
        <v>178</v>
      </c>
      <c r="D57" s="4" t="s">
        <v>179</v>
      </c>
      <c r="E57" s="4" t="s">
        <v>180</v>
      </c>
      <c r="F57" s="3" t="s">
        <v>24</v>
      </c>
      <c r="G57" s="3" t="s">
        <v>19</v>
      </c>
      <c r="H57" s="14">
        <v>45000</v>
      </c>
      <c r="I57" s="12"/>
      <c r="J57" s="15">
        <v>15</v>
      </c>
      <c r="K57" s="16">
        <f t="shared" si="0"/>
        <v>675000</v>
      </c>
      <c r="L57" s="3" t="s">
        <v>162</v>
      </c>
      <c r="M57" s="3" t="s">
        <v>181</v>
      </c>
      <c r="N57" s="3"/>
      <c r="O57" s="3"/>
    </row>
    <row r="58" spans="1:15" ht="19.5" customHeight="1" thickBot="1" x14ac:dyDescent="0.25">
      <c r="A58" s="4" t="s">
        <v>164</v>
      </c>
      <c r="B58" s="3">
        <v>2</v>
      </c>
      <c r="C58" s="4" t="s">
        <v>182</v>
      </c>
      <c r="D58" s="4" t="s">
        <v>183</v>
      </c>
      <c r="E58" s="4" t="s">
        <v>184</v>
      </c>
      <c r="F58" s="3" t="s">
        <v>24</v>
      </c>
      <c r="G58" s="3" t="s">
        <v>185</v>
      </c>
      <c r="H58" s="5">
        <v>341008</v>
      </c>
      <c r="I58" s="12"/>
      <c r="J58" s="13">
        <v>10.253521126760564</v>
      </c>
      <c r="K58" s="16">
        <f t="shared" si="0"/>
        <v>3496532.7323943665</v>
      </c>
      <c r="L58" s="3">
        <v>2</v>
      </c>
      <c r="M58" s="3" t="s">
        <v>186</v>
      </c>
      <c r="N58" s="3" t="s">
        <v>187</v>
      </c>
      <c r="O58" s="3"/>
    </row>
    <row r="59" spans="1:15" s="22" customFormat="1" ht="19.5" customHeight="1" thickBot="1" x14ac:dyDescent="0.25">
      <c r="A59" s="19" t="s">
        <v>164</v>
      </c>
      <c r="B59" s="20">
        <v>2</v>
      </c>
      <c r="C59" s="19" t="s">
        <v>188</v>
      </c>
      <c r="D59" s="19" t="s">
        <v>189</v>
      </c>
      <c r="E59" s="19" t="s">
        <v>190</v>
      </c>
      <c r="F59" s="20" t="s">
        <v>24</v>
      </c>
      <c r="G59" s="20" t="s">
        <v>19</v>
      </c>
      <c r="H59" s="14">
        <v>1431008</v>
      </c>
      <c r="I59" s="21"/>
      <c r="J59" s="15">
        <v>2.2253521126760565</v>
      </c>
      <c r="K59" s="18">
        <f t="shared" si="0"/>
        <v>3184496.676056338</v>
      </c>
      <c r="L59" s="20">
        <v>2</v>
      </c>
      <c r="M59" s="20" t="s">
        <v>191</v>
      </c>
      <c r="N59" s="20" t="s">
        <v>192</v>
      </c>
      <c r="O59" s="20"/>
    </row>
    <row r="60" spans="1:15" s="22" customFormat="1" ht="19.5" customHeight="1" thickBot="1" x14ac:dyDescent="0.25">
      <c r="A60" s="19" t="s">
        <v>164</v>
      </c>
      <c r="B60" s="20">
        <v>2</v>
      </c>
      <c r="C60" s="19" t="s">
        <v>188</v>
      </c>
      <c r="D60" s="19" t="s">
        <v>193</v>
      </c>
      <c r="E60" s="19" t="s">
        <v>190</v>
      </c>
      <c r="F60" s="20" t="s">
        <v>24</v>
      </c>
      <c r="G60" s="20" t="s">
        <v>19</v>
      </c>
      <c r="H60" s="14">
        <v>1219750</v>
      </c>
      <c r="I60" s="21"/>
      <c r="J60" s="15">
        <f>277/142</f>
        <v>1.9507042253521127</v>
      </c>
      <c r="K60" s="18">
        <f t="shared" si="0"/>
        <v>2379371.4788732394</v>
      </c>
      <c r="L60" s="20">
        <v>2</v>
      </c>
      <c r="M60" s="20" t="s">
        <v>194</v>
      </c>
      <c r="N60" s="20" t="s">
        <v>195</v>
      </c>
      <c r="O60" s="20"/>
    </row>
    <row r="61" spans="1:15" s="22" customFormat="1" ht="19.5" customHeight="1" thickBot="1" x14ac:dyDescent="0.25">
      <c r="A61" s="19" t="s">
        <v>164</v>
      </c>
      <c r="B61" s="20">
        <v>1</v>
      </c>
      <c r="C61" s="19" t="s">
        <v>188</v>
      </c>
      <c r="D61" s="19" t="s">
        <v>196</v>
      </c>
      <c r="E61" s="19" t="s">
        <v>197</v>
      </c>
      <c r="F61" s="20" t="s">
        <v>24</v>
      </c>
      <c r="G61" s="20" t="s">
        <v>19</v>
      </c>
      <c r="H61" s="14">
        <v>139903</v>
      </c>
      <c r="I61" s="21"/>
      <c r="J61" s="15">
        <v>2.2253521126760565</v>
      </c>
      <c r="K61" s="18">
        <f t="shared" si="0"/>
        <v>311333.43661971833</v>
      </c>
      <c r="L61" s="20">
        <v>1</v>
      </c>
      <c r="M61" s="20" t="s">
        <v>198</v>
      </c>
      <c r="N61" s="20"/>
      <c r="O61" s="20"/>
    </row>
    <row r="62" spans="1:15" ht="19.5" customHeight="1" thickBot="1" x14ac:dyDescent="0.25">
      <c r="A62" s="4" t="s">
        <v>164</v>
      </c>
      <c r="B62" s="3"/>
      <c r="C62" s="4" t="s">
        <v>199</v>
      </c>
      <c r="D62" s="4" t="s">
        <v>200</v>
      </c>
      <c r="E62" s="4" t="s">
        <v>201</v>
      </c>
      <c r="F62" s="3" t="s">
        <v>24</v>
      </c>
      <c r="G62" s="3" t="s">
        <v>19</v>
      </c>
      <c r="H62" s="5">
        <v>20586</v>
      </c>
      <c r="I62" s="12"/>
      <c r="J62" s="13">
        <v>10.105633802816902</v>
      </c>
      <c r="K62" s="16">
        <f t="shared" si="0"/>
        <v>208034.57746478874</v>
      </c>
      <c r="L62" s="3">
        <v>1</v>
      </c>
      <c r="M62" s="3" t="s">
        <v>202</v>
      </c>
      <c r="N62" s="3"/>
      <c r="O62" s="3"/>
    </row>
    <row r="63" spans="1:15" ht="19.5" customHeight="1" thickBot="1" x14ac:dyDescent="0.25">
      <c r="A63" s="4" t="s">
        <v>164</v>
      </c>
      <c r="B63" s="3"/>
      <c r="C63" s="4" t="s">
        <v>199</v>
      </c>
      <c r="D63" s="4" t="s">
        <v>200</v>
      </c>
      <c r="E63" s="4" t="s">
        <v>203</v>
      </c>
      <c r="F63" s="3" t="s">
        <v>24</v>
      </c>
      <c r="G63" s="3" t="s">
        <v>19</v>
      </c>
      <c r="H63" s="5">
        <v>16768</v>
      </c>
      <c r="I63" s="12"/>
      <c r="J63" s="13">
        <v>10.105633802816902</v>
      </c>
      <c r="K63" s="16">
        <f t="shared" si="0"/>
        <v>169451.26760563382</v>
      </c>
      <c r="L63" s="3">
        <v>1</v>
      </c>
      <c r="M63" s="3" t="s">
        <v>202</v>
      </c>
      <c r="N63" s="3"/>
      <c r="O63" s="3"/>
    </row>
    <row r="64" spans="1:15" ht="19.5" customHeight="1" thickBot="1" x14ac:dyDescent="0.25">
      <c r="A64" s="4" t="s">
        <v>164</v>
      </c>
      <c r="B64" s="3"/>
      <c r="C64" s="4" t="s">
        <v>199</v>
      </c>
      <c r="D64" s="4" t="s">
        <v>200</v>
      </c>
      <c r="E64" s="4" t="s">
        <v>204</v>
      </c>
      <c r="F64" s="3" t="s">
        <v>24</v>
      </c>
      <c r="G64" s="3" t="s">
        <v>19</v>
      </c>
      <c r="H64" s="5">
        <v>16627</v>
      </c>
      <c r="I64" s="12"/>
      <c r="J64" s="13">
        <v>10.105633802816902</v>
      </c>
      <c r="K64" s="16">
        <f t="shared" si="0"/>
        <v>168026.37323943662</v>
      </c>
      <c r="L64" s="3">
        <v>1</v>
      </c>
      <c r="M64" s="3" t="s">
        <v>202</v>
      </c>
      <c r="N64" s="3"/>
      <c r="O64" s="3"/>
    </row>
    <row r="65" spans="1:15" ht="19.5" customHeight="1" thickBot="1" x14ac:dyDescent="0.25">
      <c r="A65" s="4" t="s">
        <v>164</v>
      </c>
      <c r="B65" s="3"/>
      <c r="C65" s="4" t="s">
        <v>199</v>
      </c>
      <c r="D65" s="4" t="s">
        <v>200</v>
      </c>
      <c r="E65" s="4" t="s">
        <v>205</v>
      </c>
      <c r="F65" s="3" t="s">
        <v>24</v>
      </c>
      <c r="G65" s="3" t="s">
        <v>19</v>
      </c>
      <c r="H65" s="5">
        <v>6590</v>
      </c>
      <c r="I65" s="12"/>
      <c r="J65" s="13">
        <v>10.105633802816902</v>
      </c>
      <c r="K65" s="16">
        <f t="shared" si="0"/>
        <v>66596.126760563377</v>
      </c>
      <c r="L65" s="3">
        <v>1</v>
      </c>
      <c r="M65" s="3" t="s">
        <v>202</v>
      </c>
      <c r="N65" s="3"/>
      <c r="O65" s="3"/>
    </row>
    <row r="66" spans="1:15" s="22" customFormat="1" ht="19.5" customHeight="1" thickBot="1" x14ac:dyDescent="0.25">
      <c r="A66" s="19" t="s">
        <v>122</v>
      </c>
      <c r="B66" s="20">
        <v>1</v>
      </c>
      <c r="C66" s="19" t="s">
        <v>206</v>
      </c>
      <c r="D66" s="19" t="s">
        <v>207</v>
      </c>
      <c r="E66" s="19" t="s">
        <v>208</v>
      </c>
      <c r="F66" s="20" t="s">
        <v>24</v>
      </c>
      <c r="G66" s="20" t="s">
        <v>31</v>
      </c>
      <c r="H66" s="14">
        <v>25533</v>
      </c>
      <c r="I66" s="21"/>
      <c r="J66" s="15">
        <v>3.8712121212121211</v>
      </c>
      <c r="K66" s="18">
        <f t="shared" si="0"/>
        <v>98843.659090909088</v>
      </c>
      <c r="L66" s="20">
        <v>2</v>
      </c>
      <c r="M66" s="20" t="s">
        <v>209</v>
      </c>
      <c r="N66" s="20" t="s">
        <v>210</v>
      </c>
      <c r="O66" s="20"/>
    </row>
    <row r="67" spans="1:15" s="22" customFormat="1" ht="19.5" customHeight="1" thickBot="1" x14ac:dyDescent="0.25">
      <c r="A67" s="19" t="s">
        <v>122</v>
      </c>
      <c r="B67" s="20">
        <v>1</v>
      </c>
      <c r="C67" s="19" t="s">
        <v>206</v>
      </c>
      <c r="D67" s="19" t="s">
        <v>207</v>
      </c>
      <c r="E67" s="19" t="s">
        <v>211</v>
      </c>
      <c r="F67" s="20" t="s">
        <v>24</v>
      </c>
      <c r="G67" s="20" t="s">
        <v>31</v>
      </c>
      <c r="H67" s="14">
        <v>1925712</v>
      </c>
      <c r="I67" s="21"/>
      <c r="J67" s="15">
        <v>4.5909090909090908</v>
      </c>
      <c r="K67" s="18">
        <f t="shared" si="0"/>
        <v>8840768.7272727266</v>
      </c>
      <c r="L67" s="20">
        <v>2</v>
      </c>
      <c r="M67" s="20" t="s">
        <v>212</v>
      </c>
      <c r="N67" s="20" t="s">
        <v>213</v>
      </c>
      <c r="O67" s="20"/>
    </row>
    <row r="68" spans="1:15" ht="19.5" customHeight="1" thickBot="1" x14ac:dyDescent="0.25">
      <c r="A68" s="4" t="s">
        <v>122</v>
      </c>
      <c r="B68" s="3">
        <v>2</v>
      </c>
      <c r="C68" s="4" t="s">
        <v>206</v>
      </c>
      <c r="D68" s="4" t="s">
        <v>207</v>
      </c>
      <c r="E68" s="4" t="s">
        <v>246</v>
      </c>
      <c r="F68" s="3" t="s">
        <v>24</v>
      </c>
      <c r="G68" s="3" t="s">
        <v>31</v>
      </c>
      <c r="H68" s="14"/>
      <c r="I68" s="12"/>
      <c r="J68" s="13">
        <v>7.72</v>
      </c>
      <c r="K68" s="16">
        <f t="shared" si="0"/>
        <v>0</v>
      </c>
      <c r="L68" s="3"/>
      <c r="M68" s="3" t="s">
        <v>247</v>
      </c>
      <c r="N68" s="3"/>
      <c r="O68" s="3"/>
    </row>
    <row r="69" spans="1:15" s="22" customFormat="1" ht="19.5" customHeight="1" thickBot="1" x14ac:dyDescent="0.25">
      <c r="A69" s="19" t="s">
        <v>122</v>
      </c>
      <c r="B69" s="20">
        <v>1</v>
      </c>
      <c r="C69" s="19" t="s">
        <v>214</v>
      </c>
      <c r="D69" s="19" t="s">
        <v>215</v>
      </c>
      <c r="E69" s="19" t="s">
        <v>216</v>
      </c>
      <c r="F69" s="20" t="s">
        <v>24</v>
      </c>
      <c r="G69" s="20" t="s">
        <v>162</v>
      </c>
      <c r="H69" s="14">
        <v>337720</v>
      </c>
      <c r="I69" s="21"/>
      <c r="J69" s="15">
        <v>3.5681818181818183</v>
      </c>
      <c r="K69" s="18">
        <f t="shared" ref="K69:K72" si="1">(H69*J69+I69*J69)</f>
        <v>1205046.3636363638</v>
      </c>
      <c r="L69" s="20">
        <v>12</v>
      </c>
      <c r="M69" s="20" t="s">
        <v>217</v>
      </c>
      <c r="N69" s="20" t="s">
        <v>218</v>
      </c>
      <c r="O69" s="20" t="s">
        <v>219</v>
      </c>
    </row>
    <row r="70" spans="1:15" ht="19.5" customHeight="1" thickBot="1" x14ac:dyDescent="0.25">
      <c r="A70" s="4" t="s">
        <v>220</v>
      </c>
      <c r="B70" s="3"/>
      <c r="C70" s="4" t="s">
        <v>221</v>
      </c>
      <c r="D70" s="4" t="s">
        <v>222</v>
      </c>
      <c r="E70" s="4" t="s">
        <v>223</v>
      </c>
      <c r="F70" s="3" t="s">
        <v>21</v>
      </c>
      <c r="G70" s="3" t="s">
        <v>31</v>
      </c>
      <c r="H70" s="5"/>
      <c r="I70" s="12">
        <v>1104</v>
      </c>
      <c r="J70" s="13">
        <v>394</v>
      </c>
      <c r="K70" s="16">
        <f t="shared" si="1"/>
        <v>434976</v>
      </c>
      <c r="L70" s="3">
        <v>1</v>
      </c>
      <c r="M70" s="3" t="s">
        <v>224</v>
      </c>
      <c r="N70" s="3"/>
      <c r="O70" s="3"/>
    </row>
    <row r="71" spans="1:15" ht="19.5" customHeight="1" thickBot="1" x14ac:dyDescent="0.25">
      <c r="A71" s="4" t="s">
        <v>220</v>
      </c>
      <c r="B71" s="3"/>
      <c r="C71" s="4" t="s">
        <v>221</v>
      </c>
      <c r="D71" s="4" t="s">
        <v>225</v>
      </c>
      <c r="E71" s="4" t="s">
        <v>226</v>
      </c>
      <c r="F71" s="3" t="s">
        <v>21</v>
      </c>
      <c r="G71" s="3" t="s">
        <v>31</v>
      </c>
      <c r="H71" s="5"/>
      <c r="I71" s="12">
        <v>1625</v>
      </c>
      <c r="J71" s="13">
        <v>541</v>
      </c>
      <c r="K71" s="16">
        <f t="shared" si="1"/>
        <v>879125</v>
      </c>
      <c r="L71" s="3"/>
      <c r="M71" s="3" t="s">
        <v>224</v>
      </c>
      <c r="N71" s="3"/>
      <c r="O71" s="3"/>
    </row>
    <row r="72" spans="1:15" ht="19.5" customHeight="1" thickBot="1" x14ac:dyDescent="0.25">
      <c r="A72" s="4" t="s">
        <v>113</v>
      </c>
      <c r="B72" s="3"/>
      <c r="C72" s="4" t="s">
        <v>227</v>
      </c>
      <c r="D72" s="4" t="s">
        <v>228</v>
      </c>
      <c r="E72" s="4" t="s">
        <v>229</v>
      </c>
      <c r="F72" s="3" t="s">
        <v>24</v>
      </c>
      <c r="G72" s="3"/>
      <c r="H72" s="5">
        <v>150000</v>
      </c>
      <c r="I72" s="12"/>
      <c r="J72" s="13"/>
      <c r="K72" s="18">
        <f t="shared" si="1"/>
        <v>0</v>
      </c>
      <c r="L72" s="3"/>
      <c r="M72" s="3" t="s">
        <v>230</v>
      </c>
      <c r="N72" s="3"/>
      <c r="O72" s="3"/>
    </row>
    <row r="73" spans="1:15" x14ac:dyDescent="0.2">
      <c r="K73" s="17">
        <f>SUM(K4:K72)</f>
        <v>155958632.82009122</v>
      </c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 pharma</cp:lastModifiedBy>
  <dcterms:created xsi:type="dcterms:W3CDTF">2026-07-23T16:38:05Z</dcterms:created>
  <dcterms:modified xsi:type="dcterms:W3CDTF">2026-08-03T04:40:37Z</dcterms:modified>
</cp:coreProperties>
</file>